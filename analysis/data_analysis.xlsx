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wei/Git/paper-sycophancy/analysis/"/>
    </mc:Choice>
  </mc:AlternateContent>
  <xr:revisionPtr revIDLastSave="0" documentId="13_ncr:1_{D8EF083A-B0D1-3047-99B1-4C5D7C411C9E}" xr6:coauthVersionLast="47" xr6:coauthVersionMax="47" xr10:uidLastSave="{00000000-0000-0000-0000-000000000000}"/>
  <bookViews>
    <workbookView xWindow="3520" yWindow="4480" windowWidth="28800" windowHeight="17400" activeTab="1" xr2:uid="{99AD7D57-B10B-664B-AB05-7F99E7827D67}"/>
  </bookViews>
  <sheets>
    <sheet name="State RF" sheetId="8" r:id="rId1"/>
    <sheet name="State GLM" sheetId="9" r:id="rId2"/>
    <sheet name="Delta RF" sheetId="7" r:id="rId3"/>
    <sheet name="Delta GLM" sheetId="6" r:id="rId4"/>
    <sheet name="Combined RF" sheetId="10" r:id="rId5"/>
    <sheet name="Combined GLM" sheetId="11" r:id="rId6"/>
    <sheet name="Validation" sheetId="12" r:id="rId7"/>
    <sheet name="Assent Trajectory" sheetId="5" r:id="rId8"/>
    <sheet name="OLD State RF" sheetId="1" r:id="rId9"/>
    <sheet name="OLD State GLM" sheetId="2" r:id="rId10"/>
    <sheet name="OLD Combined RF" sheetId="3" r:id="rId11"/>
    <sheet name="OLD Combined GLM" sheetId="4" r:id="rId12"/>
  </sheets>
  <definedNames>
    <definedName name="_xlnm._FilterDatabase" localSheetId="9" hidden="1">'OLD State GLM'!$A$3:$G$24</definedName>
    <definedName name="_xlnm._FilterDatabase" localSheetId="1" hidden="1">'State GLM'!$Z$4:$AG$31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1" i="9" l="1"/>
  <c r="AE31" i="9"/>
  <c r="AD31" i="9"/>
  <c r="AC31" i="9"/>
  <c r="AB31" i="9"/>
  <c r="AA31" i="9"/>
  <c r="AF30" i="9"/>
  <c r="AG30" i="9" s="1"/>
  <c r="AE30" i="9"/>
  <c r="AD30" i="9"/>
  <c r="AC30" i="9"/>
  <c r="AB30" i="9"/>
  <c r="AA30" i="9"/>
  <c r="AF29" i="9"/>
  <c r="AE29" i="9"/>
  <c r="AD29" i="9"/>
  <c r="AC29" i="9"/>
  <c r="AB29" i="9"/>
  <c r="AA29" i="9"/>
  <c r="AF28" i="9"/>
  <c r="AE28" i="9"/>
  <c r="AD28" i="9"/>
  <c r="AC28" i="9"/>
  <c r="AB28" i="9"/>
  <c r="AA28" i="9"/>
  <c r="AF27" i="9"/>
  <c r="AG27" i="9" s="1"/>
  <c r="AE27" i="9"/>
  <c r="AD27" i="9"/>
  <c r="AC27" i="9"/>
  <c r="AB27" i="9"/>
  <c r="AA27" i="9"/>
  <c r="AF26" i="9"/>
  <c r="AE26" i="9"/>
  <c r="AD26" i="9"/>
  <c r="AC26" i="9"/>
  <c r="AB26" i="9"/>
  <c r="AA26" i="9"/>
  <c r="AF25" i="9"/>
  <c r="AG25" i="9" s="1"/>
  <c r="AE25" i="9"/>
  <c r="AD25" i="9"/>
  <c r="AC25" i="9"/>
  <c r="AB25" i="9"/>
  <c r="AA25" i="9"/>
  <c r="AF24" i="9"/>
  <c r="AE24" i="9"/>
  <c r="AD24" i="9"/>
  <c r="AC24" i="9"/>
  <c r="AB24" i="9"/>
  <c r="AA24" i="9"/>
  <c r="AF17" i="9"/>
  <c r="AE17" i="9"/>
  <c r="AD17" i="9"/>
  <c r="AC17" i="9"/>
  <c r="AB17" i="9"/>
  <c r="AA17" i="9"/>
  <c r="AF15" i="9"/>
  <c r="AG15" i="9" s="1"/>
  <c r="AE15" i="9"/>
  <c r="AD15" i="9"/>
  <c r="AC15" i="9"/>
  <c r="AB15" i="9"/>
  <c r="AA15" i="9"/>
  <c r="AF23" i="9"/>
  <c r="AG23" i="9" s="1"/>
  <c r="AE23" i="9"/>
  <c r="AD23" i="9"/>
  <c r="AC23" i="9"/>
  <c r="AB23" i="9"/>
  <c r="AA23" i="9"/>
  <c r="AF22" i="9"/>
  <c r="AG22" i="9" s="1"/>
  <c r="AE22" i="9"/>
  <c r="AD22" i="9"/>
  <c r="AC22" i="9"/>
  <c r="AB22" i="9"/>
  <c r="AA22" i="9"/>
  <c r="AF21" i="9"/>
  <c r="AE21" i="9"/>
  <c r="AD21" i="9"/>
  <c r="AC21" i="9"/>
  <c r="AB21" i="9"/>
  <c r="AA21" i="9"/>
  <c r="AF11" i="9"/>
  <c r="AE11" i="9"/>
  <c r="AD11" i="9"/>
  <c r="AC11" i="9"/>
  <c r="AB11" i="9"/>
  <c r="AA11" i="9"/>
  <c r="AF10" i="9"/>
  <c r="AE10" i="9"/>
  <c r="AD10" i="9"/>
  <c r="AC10" i="9"/>
  <c r="AB10" i="9"/>
  <c r="AA10" i="9"/>
  <c r="AF16" i="9"/>
  <c r="AE16" i="9"/>
  <c r="AD16" i="9"/>
  <c r="AC16" i="9"/>
  <c r="AB16" i="9"/>
  <c r="AA16" i="9"/>
  <c r="AF20" i="9"/>
  <c r="AG20" i="9" s="1"/>
  <c r="AE20" i="9"/>
  <c r="AD20" i="9"/>
  <c r="AC20" i="9"/>
  <c r="AB20" i="9"/>
  <c r="AA20" i="9"/>
  <c r="AF14" i="9"/>
  <c r="AG14" i="9" s="1"/>
  <c r="AE14" i="9"/>
  <c r="AD14" i="9"/>
  <c r="AC14" i="9"/>
  <c r="AB14" i="9"/>
  <c r="AA14" i="9"/>
  <c r="AF13" i="9"/>
  <c r="AE13" i="9"/>
  <c r="AD13" i="9"/>
  <c r="AC13" i="9"/>
  <c r="AB13" i="9"/>
  <c r="AA13" i="9"/>
  <c r="AF12" i="9"/>
  <c r="AE12" i="9"/>
  <c r="AD12" i="9"/>
  <c r="AC12" i="9"/>
  <c r="AB12" i="9"/>
  <c r="AA12" i="9"/>
  <c r="AF9" i="9"/>
  <c r="AE9" i="9"/>
  <c r="AD9" i="9"/>
  <c r="AC9" i="9"/>
  <c r="AB9" i="9"/>
  <c r="AA9" i="9"/>
  <c r="AF19" i="9"/>
  <c r="AG19" i="9" s="1"/>
  <c r="AE19" i="9"/>
  <c r="AD19" i="9"/>
  <c r="AC19" i="9"/>
  <c r="AB19" i="9"/>
  <c r="AA19" i="9"/>
  <c r="AF7" i="9"/>
  <c r="AE7" i="9"/>
  <c r="AD7" i="9"/>
  <c r="AC7" i="9"/>
  <c r="AB7" i="9"/>
  <c r="AA7" i="9"/>
  <c r="AF8" i="9"/>
  <c r="AE8" i="9"/>
  <c r="AD8" i="9"/>
  <c r="AC8" i="9"/>
  <c r="AB8" i="9"/>
  <c r="AA8" i="9"/>
  <c r="AF18" i="9"/>
  <c r="AG18" i="9" s="1"/>
  <c r="AE18" i="9"/>
  <c r="AD18" i="9"/>
  <c r="AC18" i="9"/>
  <c r="AB18" i="9"/>
  <c r="AA18" i="9"/>
  <c r="AF5" i="9"/>
  <c r="AE5" i="9"/>
  <c r="AD5" i="9"/>
  <c r="AC5" i="9"/>
  <c r="AB5" i="9"/>
  <c r="AA5" i="9"/>
  <c r="AF6" i="9"/>
  <c r="AE6" i="9"/>
  <c r="AD6" i="9"/>
  <c r="AC6" i="9"/>
  <c r="AB6" i="9"/>
  <c r="AA6" i="9"/>
  <c r="T54" i="12"/>
  <c r="S54" i="12"/>
  <c r="R54" i="12"/>
  <c r="T39" i="12"/>
  <c r="T55" i="12" s="1"/>
  <c r="S39" i="12"/>
  <c r="S55" i="12" s="1"/>
  <c r="R39" i="12"/>
  <c r="R55" i="12" s="1"/>
  <c r="T21" i="12"/>
  <c r="S21" i="12"/>
  <c r="R21" i="12"/>
  <c r="T3" i="12"/>
  <c r="T22" i="12" s="1"/>
  <c r="S3" i="12"/>
  <c r="S22" i="12" s="1"/>
  <c r="R3" i="12"/>
  <c r="R22" i="12" s="1"/>
  <c r="K54" i="12"/>
  <c r="C54" i="12"/>
  <c r="K21" i="12"/>
  <c r="C21" i="12"/>
  <c r="R37" i="11"/>
  <c r="S37" i="11" s="1"/>
  <c r="J37" i="11"/>
  <c r="K37" i="11" s="1"/>
  <c r="B37" i="11"/>
  <c r="C37" i="11" s="1"/>
  <c r="S103" i="9"/>
  <c r="K103" i="9"/>
  <c r="C103" i="9"/>
  <c r="R55" i="11"/>
  <c r="S55" i="11" s="1"/>
  <c r="J55" i="11"/>
  <c r="K55" i="11" s="1"/>
  <c r="B55" i="11"/>
  <c r="C55" i="11" s="1"/>
  <c r="AG45" i="9"/>
  <c r="AF45" i="9"/>
  <c r="AG44" i="9"/>
  <c r="AF44" i="9"/>
  <c r="AG43" i="9"/>
  <c r="AF43" i="9"/>
  <c r="AG42" i="9"/>
  <c r="AF42" i="9"/>
  <c r="AG41" i="9"/>
  <c r="AF41" i="9"/>
  <c r="AG40" i="9"/>
  <c r="AF40" i="9"/>
  <c r="AG39" i="9"/>
  <c r="AF39" i="9"/>
  <c r="AG38" i="9"/>
  <c r="AF38" i="9"/>
  <c r="AC45" i="9"/>
  <c r="AB45" i="9"/>
  <c r="AA45" i="9"/>
  <c r="AC44" i="9"/>
  <c r="AB44" i="9"/>
  <c r="AA44" i="9"/>
  <c r="AC43" i="9"/>
  <c r="AB43" i="9"/>
  <c r="AA43" i="9"/>
  <c r="AC42" i="9"/>
  <c r="AB42" i="9"/>
  <c r="AA42" i="9"/>
  <c r="AC41" i="9"/>
  <c r="AB41" i="9"/>
  <c r="AA41" i="9"/>
  <c r="AC40" i="9"/>
  <c r="AB40" i="9"/>
  <c r="AA40" i="9"/>
  <c r="AC39" i="9"/>
  <c r="AB39" i="9"/>
  <c r="AA39" i="9"/>
  <c r="AC38" i="9"/>
  <c r="AB38" i="9"/>
  <c r="AA38" i="9"/>
  <c r="AB27" i="11"/>
  <c r="AA27" i="11"/>
  <c r="Z27" i="11"/>
  <c r="AB26" i="11"/>
  <c r="AA26" i="11"/>
  <c r="Z26" i="11"/>
  <c r="AB25" i="11"/>
  <c r="AA25" i="11"/>
  <c r="Z25" i="11"/>
  <c r="AB24" i="11"/>
  <c r="AA24" i="11"/>
  <c r="Z24" i="11"/>
  <c r="AB23" i="11"/>
  <c r="AA23" i="11"/>
  <c r="Z23" i="11"/>
  <c r="AB22" i="11"/>
  <c r="AA22" i="11"/>
  <c r="Z22" i="11"/>
  <c r="AB21" i="11"/>
  <c r="AA21" i="11"/>
  <c r="Z21" i="11"/>
  <c r="AB20" i="11"/>
  <c r="AA20" i="11"/>
  <c r="Z20" i="11"/>
  <c r="AB19" i="11"/>
  <c r="AA19" i="11"/>
  <c r="Z19" i="11"/>
  <c r="AB18" i="11"/>
  <c r="AA18" i="11"/>
  <c r="Z18" i="11"/>
  <c r="AB17" i="11"/>
  <c r="AA17" i="11"/>
  <c r="Z17" i="11"/>
  <c r="AB16" i="11"/>
  <c r="AA16" i="11"/>
  <c r="Z16" i="11"/>
  <c r="AB15" i="11"/>
  <c r="AA15" i="11"/>
  <c r="Z15" i="11"/>
  <c r="AB14" i="11"/>
  <c r="AA14" i="11"/>
  <c r="Z14" i="11"/>
  <c r="AB13" i="11"/>
  <c r="AA13" i="11"/>
  <c r="Z13" i="11"/>
  <c r="AB12" i="11"/>
  <c r="AA12" i="11"/>
  <c r="Z12" i="11"/>
  <c r="AB11" i="11"/>
  <c r="AA11" i="11"/>
  <c r="Z11" i="11"/>
  <c r="AB10" i="11"/>
  <c r="AA10" i="11"/>
  <c r="Z10" i="11"/>
  <c r="AB9" i="11"/>
  <c r="AA9" i="11"/>
  <c r="Z9" i="11"/>
  <c r="AB8" i="11"/>
  <c r="AA8" i="11"/>
  <c r="Z8" i="11"/>
  <c r="AB7" i="11"/>
  <c r="AA7" i="11"/>
  <c r="Z7" i="11"/>
  <c r="AB6" i="11"/>
  <c r="AA6" i="11"/>
  <c r="Z6" i="11"/>
  <c r="AB5" i="11"/>
  <c r="AA5" i="11"/>
  <c r="Z5" i="11"/>
  <c r="S36" i="9"/>
  <c r="K36" i="9"/>
  <c r="C36" i="9"/>
  <c r="L28" i="4"/>
  <c r="D28" i="4"/>
  <c r="S74" i="4"/>
  <c r="K74" i="4"/>
  <c r="C74" i="4"/>
  <c r="R61" i="4"/>
  <c r="J61" i="4"/>
  <c r="B61" i="4"/>
  <c r="B107" i="4"/>
  <c r="R107" i="4"/>
  <c r="J107" i="4"/>
  <c r="AB56" i="4"/>
  <c r="AA56" i="4"/>
  <c r="Z56" i="4"/>
  <c r="AB55" i="4"/>
  <c r="AA55" i="4"/>
  <c r="Z55" i="4"/>
  <c r="AB54" i="4"/>
  <c r="AA54" i="4"/>
  <c r="Z54" i="4"/>
  <c r="AB53" i="4"/>
  <c r="AA53" i="4"/>
  <c r="Z53" i="4"/>
  <c r="AB52" i="4"/>
  <c r="AA52" i="4"/>
  <c r="Z52" i="4"/>
  <c r="AB51" i="4"/>
  <c r="AA51" i="4"/>
  <c r="Z51" i="4"/>
  <c r="AB50" i="4"/>
  <c r="AA50" i="4"/>
  <c r="Z50" i="4"/>
  <c r="AB49" i="4"/>
  <c r="AA49" i="4"/>
  <c r="Z49" i="4"/>
  <c r="AB48" i="4"/>
  <c r="AA48" i="4"/>
  <c r="Z48" i="4"/>
  <c r="AB47" i="4"/>
  <c r="AA47" i="4"/>
  <c r="Z47" i="4"/>
  <c r="AB46" i="4"/>
  <c r="AA46" i="4"/>
  <c r="Z46" i="4"/>
  <c r="AB45" i="4"/>
  <c r="AA45" i="4"/>
  <c r="Z45" i="4"/>
  <c r="AB44" i="4"/>
  <c r="AA44" i="4"/>
  <c r="Z44" i="4"/>
  <c r="AB43" i="4"/>
  <c r="AA43" i="4"/>
  <c r="Z43" i="4"/>
  <c r="AB42" i="4"/>
  <c r="AA42" i="4"/>
  <c r="Z42" i="4"/>
  <c r="AB41" i="4"/>
  <c r="AA41" i="4"/>
  <c r="Z41" i="4"/>
  <c r="AB40" i="4"/>
  <c r="AA40" i="4"/>
  <c r="Z40" i="4"/>
  <c r="AB39" i="4"/>
  <c r="AA39" i="4"/>
  <c r="Z39" i="4"/>
  <c r="AB38" i="4"/>
  <c r="AA38" i="4"/>
  <c r="Z38" i="4"/>
  <c r="AB37" i="4"/>
  <c r="AA37" i="4"/>
  <c r="Z37" i="4"/>
  <c r="AB36" i="4"/>
  <c r="AA36" i="4"/>
  <c r="Z36" i="4"/>
  <c r="AB35" i="4"/>
  <c r="AA35" i="4"/>
  <c r="Z35" i="4"/>
  <c r="AB34" i="4"/>
  <c r="AA34" i="4"/>
  <c r="Z34" i="4"/>
  <c r="AB3" i="4"/>
  <c r="AA3" i="4"/>
  <c r="Z3" i="4"/>
  <c r="AC89" i="2"/>
  <c r="AC88" i="2"/>
  <c r="AC87" i="2"/>
  <c r="AC86" i="2"/>
  <c r="AC85" i="2"/>
  <c r="AC84" i="2"/>
  <c r="AC83" i="2"/>
  <c r="AB89" i="2"/>
  <c r="AA89" i="2"/>
  <c r="Z89" i="2"/>
  <c r="AB88" i="2"/>
  <c r="AA88" i="2"/>
  <c r="Z88" i="2"/>
  <c r="AB87" i="2"/>
  <c r="AA87" i="2"/>
  <c r="Z87" i="2"/>
  <c r="AB86" i="2"/>
  <c r="AA86" i="2"/>
  <c r="Z86" i="2"/>
  <c r="AB85" i="2"/>
  <c r="AA85" i="2"/>
  <c r="Z85" i="2"/>
  <c r="AB84" i="2"/>
  <c r="AA84" i="2"/>
  <c r="Z84" i="2"/>
  <c r="AB83" i="2"/>
  <c r="AA83" i="2"/>
  <c r="Z83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B74" i="2"/>
  <c r="AA74" i="2"/>
  <c r="Z74" i="2"/>
  <c r="AB73" i="2"/>
  <c r="AA73" i="2"/>
  <c r="Z73" i="2"/>
  <c r="AB72" i="2"/>
  <c r="AA72" i="2"/>
  <c r="Z72" i="2"/>
  <c r="AB71" i="2"/>
  <c r="AA71" i="2"/>
  <c r="Z71" i="2"/>
  <c r="AB70" i="2"/>
  <c r="AA70" i="2"/>
  <c r="Z70" i="2"/>
  <c r="AB69" i="2"/>
  <c r="AA69" i="2"/>
  <c r="Z69" i="2"/>
  <c r="AB68" i="2"/>
  <c r="AA68" i="2"/>
  <c r="Z68" i="2"/>
  <c r="AB67" i="2"/>
  <c r="AA67" i="2"/>
  <c r="Z67" i="2"/>
  <c r="AB66" i="2"/>
  <c r="AA66" i="2"/>
  <c r="Z66" i="2"/>
  <c r="AB65" i="2"/>
  <c r="AA65" i="2"/>
  <c r="Z65" i="2"/>
  <c r="AB64" i="2"/>
  <c r="AA64" i="2"/>
  <c r="Z64" i="2"/>
  <c r="AB63" i="2"/>
  <c r="AA63" i="2"/>
  <c r="Z63" i="2"/>
  <c r="B95" i="2"/>
  <c r="R95" i="2"/>
  <c r="J95" i="2"/>
  <c r="AB59" i="2"/>
  <c r="AA59" i="2"/>
  <c r="Z59" i="2"/>
  <c r="AB58" i="2"/>
  <c r="AA58" i="2"/>
  <c r="Z58" i="2"/>
  <c r="AB57" i="2"/>
  <c r="AA57" i="2"/>
  <c r="Z57" i="2"/>
  <c r="AB56" i="2"/>
  <c r="AA56" i="2"/>
  <c r="Z56" i="2"/>
  <c r="AB55" i="2"/>
  <c r="AA55" i="2"/>
  <c r="Z55" i="2"/>
  <c r="AB54" i="2"/>
  <c r="AA54" i="2"/>
  <c r="Z54" i="2"/>
  <c r="AB53" i="2"/>
  <c r="AA53" i="2"/>
  <c r="Z53" i="2"/>
  <c r="AB52" i="2"/>
  <c r="AA52" i="2"/>
  <c r="Z52" i="2"/>
  <c r="AB51" i="2"/>
  <c r="AA51" i="2"/>
  <c r="Z51" i="2"/>
  <c r="AB50" i="2"/>
  <c r="AA50" i="2"/>
  <c r="Z50" i="2"/>
  <c r="AB49" i="2"/>
  <c r="AA49" i="2"/>
  <c r="Z49" i="2"/>
  <c r="AB48" i="2"/>
  <c r="AA48" i="2"/>
  <c r="Z48" i="2"/>
  <c r="AB47" i="2"/>
  <c r="AA47" i="2"/>
  <c r="Z47" i="2"/>
  <c r="AB46" i="2"/>
  <c r="AA46" i="2"/>
  <c r="Z46" i="2"/>
  <c r="AB45" i="2"/>
  <c r="AA45" i="2"/>
  <c r="Z45" i="2"/>
  <c r="AB44" i="2"/>
  <c r="AA44" i="2"/>
  <c r="Z44" i="2"/>
  <c r="AB43" i="2"/>
  <c r="AA43" i="2"/>
  <c r="Z43" i="2"/>
  <c r="AB42" i="2"/>
  <c r="AA42" i="2"/>
  <c r="Z42" i="2"/>
  <c r="AB41" i="2"/>
  <c r="AA41" i="2"/>
  <c r="Z41" i="2"/>
  <c r="AB40" i="2"/>
  <c r="AA40" i="2"/>
  <c r="Z40" i="2"/>
  <c r="AB39" i="2"/>
  <c r="AA39" i="2"/>
  <c r="Z39" i="2"/>
  <c r="AB38" i="2"/>
  <c r="AA38" i="2"/>
  <c r="Z38" i="2"/>
  <c r="AB37" i="2"/>
  <c r="AA37" i="2"/>
  <c r="Z37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B25" i="2"/>
  <c r="AA25" i="2"/>
  <c r="Z25" i="2"/>
  <c r="AB24" i="2"/>
  <c r="AA24" i="2"/>
  <c r="Z24" i="2"/>
  <c r="AB23" i="2"/>
  <c r="AA23" i="2"/>
  <c r="Z23" i="2"/>
  <c r="AB22" i="2"/>
  <c r="AA22" i="2"/>
  <c r="Z22" i="2"/>
  <c r="AB21" i="2"/>
  <c r="AA21" i="2"/>
  <c r="Z21" i="2"/>
  <c r="AB20" i="2"/>
  <c r="AA20" i="2"/>
  <c r="Z20" i="2"/>
  <c r="AB19" i="2"/>
  <c r="AA19" i="2"/>
  <c r="Z19" i="2"/>
  <c r="AB18" i="2"/>
  <c r="AA18" i="2"/>
  <c r="Z18" i="2"/>
  <c r="AB17" i="2"/>
  <c r="AA17" i="2"/>
  <c r="Z17" i="2"/>
  <c r="AB16" i="2"/>
  <c r="AA16" i="2"/>
  <c r="Z16" i="2"/>
  <c r="AB15" i="2"/>
  <c r="AA15" i="2"/>
  <c r="Z15" i="2"/>
  <c r="AB14" i="2"/>
  <c r="AA14" i="2"/>
  <c r="Z14" i="2"/>
  <c r="AB13" i="2"/>
  <c r="AA13" i="2"/>
  <c r="Z13" i="2"/>
  <c r="AB12" i="2"/>
  <c r="AA12" i="2"/>
  <c r="Z12" i="2"/>
  <c r="AB11" i="2"/>
  <c r="AA11" i="2"/>
  <c r="Z11" i="2"/>
  <c r="AB10" i="2"/>
  <c r="AA10" i="2"/>
  <c r="Z10" i="2"/>
  <c r="AB9" i="2"/>
  <c r="AA9" i="2"/>
  <c r="Z9" i="2"/>
  <c r="AB8" i="2"/>
  <c r="AA8" i="2"/>
  <c r="Z8" i="2"/>
  <c r="AB7" i="2"/>
  <c r="AA7" i="2"/>
  <c r="Z7" i="2"/>
  <c r="AB6" i="2"/>
  <c r="AA6" i="2"/>
  <c r="Z6" i="2"/>
  <c r="AB5" i="2"/>
  <c r="AA5" i="2"/>
  <c r="Z5" i="2"/>
  <c r="AB4" i="2"/>
  <c r="AA4" i="2"/>
  <c r="Z4" i="2"/>
  <c r="AB3" i="2"/>
  <c r="AA3" i="2"/>
  <c r="Z3" i="2"/>
  <c r="AG31" i="9" l="1"/>
  <c r="AG13" i="9"/>
  <c r="AG10" i="9"/>
  <c r="AG8" i="9"/>
  <c r="AG5" i="9"/>
  <c r="AG29" i="9"/>
  <c r="AG12" i="9"/>
  <c r="AG9" i="9"/>
  <c r="AG24" i="9"/>
  <c r="AG28" i="9"/>
  <c r="AG16" i="9"/>
  <c r="AG11" i="9"/>
  <c r="AG21" i="9"/>
  <c r="AG6" i="9"/>
  <c r="AG17" i="9"/>
  <c r="AG26" i="9"/>
  <c r="AG7" i="9"/>
  <c r="AD39" i="9"/>
  <c r="AD43" i="9"/>
  <c r="AD38" i="9"/>
  <c r="AD41" i="9"/>
  <c r="AD44" i="9"/>
  <c r="AD42" i="9"/>
  <c r="AD45" i="9"/>
  <c r="AD40" i="9"/>
</calcChain>
</file>

<file path=xl/sharedStrings.xml><?xml version="1.0" encoding="utf-8"?>
<sst xmlns="http://schemas.openxmlformats.org/spreadsheetml/2006/main" count="3418" uniqueCount="333">
  <si>
    <t>assent</t>
  </si>
  <si>
    <t>negate</t>
  </si>
  <si>
    <t>we</t>
  </si>
  <si>
    <t>risk</t>
  </si>
  <si>
    <t>adj</t>
  </si>
  <si>
    <t>moral</t>
  </si>
  <si>
    <t>affiliation</t>
  </si>
  <si>
    <t>differ</t>
  </si>
  <si>
    <t>tone_pos</t>
  </si>
  <si>
    <t>Clout</t>
  </si>
  <si>
    <t>power</t>
  </si>
  <si>
    <t>tentat</t>
  </si>
  <si>
    <t>cause</t>
  </si>
  <si>
    <t>Tone</t>
  </si>
  <si>
    <t>tone_neg</t>
  </si>
  <si>
    <t>prosocial</t>
  </si>
  <si>
    <t>you</t>
  </si>
  <si>
    <t>LSM</t>
  </si>
  <si>
    <t>scenario</t>
  </si>
  <si>
    <t>reward</t>
  </si>
  <si>
    <t>certitude</t>
  </si>
  <si>
    <t>insight</t>
  </si>
  <si>
    <t>i</t>
  </si>
  <si>
    <t>comm</t>
  </si>
  <si>
    <t>they</t>
  </si>
  <si>
    <t>adverb</t>
  </si>
  <si>
    <t>verb</t>
  </si>
  <si>
    <t>conflict</t>
  </si>
  <si>
    <t>quantity</t>
  </si>
  <si>
    <t>prep</t>
  </si>
  <si>
    <t>Analytic</t>
  </si>
  <si>
    <t>Authentic</t>
  </si>
  <si>
    <t>achieve</t>
  </si>
  <si>
    <t>need</t>
  </si>
  <si>
    <t>allnone</t>
  </si>
  <si>
    <t>ipron</t>
  </si>
  <si>
    <t>auxverb</t>
  </si>
  <si>
    <t>lack</t>
  </si>
  <si>
    <t>emo_anx</t>
  </si>
  <si>
    <t>allure</t>
  </si>
  <si>
    <t>discrep</t>
  </si>
  <si>
    <t>memory</t>
  </si>
  <si>
    <t>friend</t>
  </si>
  <si>
    <t>polite</t>
  </si>
  <si>
    <t>emo_neg</t>
  </si>
  <si>
    <t>shehe</t>
  </si>
  <si>
    <t>conj</t>
  </si>
  <si>
    <t>acquire</t>
  </si>
  <si>
    <t>fulfill</t>
  </si>
  <si>
    <t>c_apology</t>
  </si>
  <si>
    <t>female</t>
  </si>
  <si>
    <t>emo_anger</t>
  </si>
  <si>
    <t>curiosity</t>
  </si>
  <si>
    <t>emo_pos</t>
  </si>
  <si>
    <t>family</t>
  </si>
  <si>
    <t>fatigue</t>
  </si>
  <si>
    <t>male</t>
  </si>
  <si>
    <t>nonflu</t>
  </si>
  <si>
    <t>emo_sad</t>
  </si>
  <si>
    <t>want</t>
  </si>
  <si>
    <t>netspeak</t>
  </si>
  <si>
    <t>swear</t>
  </si>
  <si>
    <t>model</t>
  </si>
  <si>
    <t>filler</t>
  </si>
  <si>
    <t>claude</t>
  </si>
  <si>
    <t>Rank</t>
  </si>
  <si>
    <t>LIWC</t>
  </si>
  <si>
    <t>MeanDescreaseAccuracy</t>
  </si>
  <si>
    <t>MeanDecreaseGini</t>
  </si>
  <si>
    <t>LIWC variable</t>
  </si>
  <si>
    <t>Std_Coeff</t>
  </si>
  <si>
    <t>CI</t>
  </si>
  <si>
    <t>CI_low</t>
  </si>
  <si>
    <t>CI_high</t>
  </si>
  <si>
    <t>abs_coef</t>
  </si>
  <si>
    <t>AUC</t>
  </si>
  <si>
    <t>rank</t>
  </si>
  <si>
    <t>Model</t>
  </si>
  <si>
    <t>gpt-4o</t>
  </si>
  <si>
    <t>(Intercept)</t>
  </si>
  <si>
    <t>deepseek-r1</t>
  </si>
  <si>
    <t>ROUND 2 - ONLY SIGNIFICANT VARIABLES</t>
  </si>
  <si>
    <t>ROUND 1 - TOP 20 VARIABLES MINUS HIGHLY CORRELATED ONES</t>
  </si>
  <si>
    <t>Claude</t>
  </si>
  <si>
    <t>GPT-4o</t>
  </si>
  <si>
    <t>Deepseek-r1</t>
  </si>
  <si>
    <t>ROUND 3 - OVERLAPPING VARIABLES FROM ROUND 1</t>
  </si>
  <si>
    <t>ROUND 3 - OVERLAPPING VARIABLES FROM ROUND 2</t>
  </si>
  <si>
    <t>avg</t>
  </si>
  <si>
    <t>removed tone_pos &amp; tone_neg due to high correlation</t>
  </si>
  <si>
    <t>assent_diff</t>
  </si>
  <si>
    <t>we_diff</t>
  </si>
  <si>
    <t>i_diff</t>
  </si>
  <si>
    <t>risk_diff</t>
  </si>
  <si>
    <t>moral_diff</t>
  </si>
  <si>
    <t>socrefs_diff</t>
  </si>
  <si>
    <t>c_apology_diff</t>
  </si>
  <si>
    <t>you_diff</t>
  </si>
  <si>
    <t>friend_diff</t>
  </si>
  <si>
    <t>tone_pos_diff</t>
  </si>
  <si>
    <t>polite_diff</t>
  </si>
  <si>
    <t>ppron_diff</t>
  </si>
  <si>
    <t>conflict_diff</t>
  </si>
  <si>
    <t>allure_diff</t>
  </si>
  <si>
    <t>certitude_diff</t>
  </si>
  <si>
    <t>comm_diff</t>
  </si>
  <si>
    <t>fulfill_diff</t>
  </si>
  <si>
    <t>emo_anx_diff</t>
  </si>
  <si>
    <t>socbehav_diff</t>
  </si>
  <si>
    <t>achieve_diff</t>
  </si>
  <si>
    <t>pronoun_diff</t>
  </si>
  <si>
    <t>affiliation_diff</t>
  </si>
  <si>
    <t>negate_diff</t>
  </si>
  <si>
    <t>quantity_diff</t>
  </si>
  <si>
    <t>allnone_diff</t>
  </si>
  <si>
    <t>emotion_diff</t>
  </si>
  <si>
    <t>they_diff</t>
  </si>
  <si>
    <t>male_diff</t>
  </si>
  <si>
    <t>lack_diff</t>
  </si>
  <si>
    <t>curiosity_diff</t>
  </si>
  <si>
    <t>reward_diff</t>
  </si>
  <si>
    <t>differ_diff</t>
  </si>
  <si>
    <t>power_diff</t>
  </si>
  <si>
    <t>family_diff</t>
  </si>
  <si>
    <t>tentat_diff</t>
  </si>
  <si>
    <t>prosocial_diff</t>
  </si>
  <si>
    <t>verb_diff</t>
  </si>
  <si>
    <t>insight_diff</t>
  </si>
  <si>
    <t>female_diff</t>
  </si>
  <si>
    <t>shehe_diff</t>
  </si>
  <si>
    <t>cause_diff</t>
  </si>
  <si>
    <t>liwc_function_diff</t>
  </si>
  <si>
    <t>memory_diff</t>
  </si>
  <si>
    <t>adj_diff</t>
  </si>
  <si>
    <t>tone_neg_diff</t>
  </si>
  <si>
    <t>adverb_diff</t>
  </si>
  <si>
    <t>acquire_diff</t>
  </si>
  <si>
    <t>need_diff</t>
  </si>
  <si>
    <t>emo_sad_diff</t>
  </si>
  <si>
    <t>auxverb_diff</t>
  </si>
  <si>
    <t>emo_neg_diff</t>
  </si>
  <si>
    <t>emo_pos_diff</t>
  </si>
  <si>
    <t>ipron_diff</t>
  </si>
  <si>
    <t>emo_anger_diff</t>
  </si>
  <si>
    <t>prep_diff</t>
  </si>
  <si>
    <t>fatigue_diff</t>
  </si>
  <si>
    <t>cogproc_diff</t>
  </si>
  <si>
    <t>conj_diff</t>
  </si>
  <si>
    <t>discrep_diff</t>
  </si>
  <si>
    <t>filler_diff</t>
  </si>
  <si>
    <t>swear_diff</t>
  </si>
  <si>
    <t>netspeak_diff</t>
  </si>
  <si>
    <t>nonflu_diff</t>
  </si>
  <si>
    <t>want_diff</t>
  </si>
  <si>
    <t>Parameter</t>
  </si>
  <si>
    <t>Std_Coefficient</t>
  </si>
  <si>
    <t>LIWC_Variable</t>
  </si>
  <si>
    <t>MeanDecreaseAccuracy</t>
  </si>
  <si>
    <t>Showing 1 to 14 of 128 entries, 5 total columns</t>
  </si>
  <si>
    <t>Showing 1 to 9 of 9 entries, 6 total columns</t>
  </si>
  <si>
    <t>(add we_diff)</t>
  </si>
  <si>
    <t>Showing 1 to 10 of 10 entries, 6 total columns</t>
  </si>
  <si>
    <t>(add insight and differ)</t>
  </si>
  <si>
    <t>Diff</t>
  </si>
  <si>
    <t>(only absolute values)</t>
  </si>
  <si>
    <t>LSM_diff</t>
  </si>
  <si>
    <t>Tone_diff</t>
  </si>
  <si>
    <t>Clout_diff</t>
  </si>
  <si>
    <t>Authentic_diff</t>
  </si>
  <si>
    <t>Showing 1 to 21 of 21 entries, 6 total columns</t>
  </si>
  <si>
    <t>Showing 1 to 21 of 128 entries, 5 total columns</t>
  </si>
  <si>
    <t>scenariofalse</t>
  </si>
  <si>
    <t>scenarioethical</t>
  </si>
  <si>
    <t>Confusion matrix:</t>
  </si>
  <si>
    <t xml:space="preserve">     0    1 class.error</t>
  </si>
  <si>
    <t>Correlations</t>
  </si>
  <si>
    <t>Tone, tone_neg, tone_pos</t>
  </si>
  <si>
    <t>Tone, tone_pos</t>
  </si>
  <si>
    <t>`</t>
  </si>
  <si>
    <t>0 2238  871   0.2801544</t>
  </si>
  <si>
    <t>1  912 2165   0.2963926</t>
  </si>
  <si>
    <t>Showing 1 to 21 of 62 entries, 5 total columns</t>
  </si>
  <si>
    <t>0 2600  968   0.2713004</t>
  </si>
  <si>
    <t>1  967 2539   0.2758129</t>
  </si>
  <si>
    <t>OOB estimate of  error rate: 21.86%</t>
  </si>
  <si>
    <t>0 2981  828   0.2173799</t>
  </si>
  <si>
    <t>1  841 2986   0.2197544</t>
  </si>
  <si>
    <t>OOB estimate of  error rate: 27.35%</t>
  </si>
  <si>
    <t>OOB estimate of  error rate: 28.82%</t>
  </si>
  <si>
    <t>ROUND 2 - OVERLAPPING VARIABLES FROM ROUND 1, minus tone_neg</t>
  </si>
  <si>
    <t>Cominbing all data across models and run regression modle</t>
  </si>
  <si>
    <t>OOB estimate of  error rate: 34.38%</t>
  </si>
  <si>
    <t>0 2329  764   0.2470094</t>
  </si>
  <si>
    <t>1 1199 1417   0.4583333</t>
  </si>
  <si>
    <t>OOB estimate of  error rate: 34.95%</t>
  </si>
  <si>
    <t>0 2284  870   0.2758402</t>
  </si>
  <si>
    <t>1 1221 1607   0.4317539</t>
  </si>
  <si>
    <t>OOB estimate of  error rate: 39.94%</t>
  </si>
  <si>
    <t>0 1738  848   0.3279196</t>
  </si>
  <si>
    <t>1 1140 1252   0.4765886</t>
  </si>
  <si>
    <t>Showing 1 to 21 of 61 entries, 5 total columns</t>
  </si>
  <si>
    <t>OOB estimate of  error rate: 31.13%</t>
  </si>
  <si>
    <t>OOB estimate of  error rate: 27.05%</t>
  </si>
  <si>
    <t>0 2475  618   0.1998060</t>
  </si>
  <si>
    <t>1  926 1690   0.3539755</t>
  </si>
  <si>
    <t>OOB estimate of  error rate: 24.62%</t>
  </si>
  <si>
    <t>0 2512  640   0.2030457</t>
  </si>
  <si>
    <t>1  835 2003   0.2942213</t>
  </si>
  <si>
    <t>0 1915  671   0.2594741</t>
  </si>
  <si>
    <t>1  878 1512   0.3673640</t>
  </si>
  <si>
    <t>Showing 1 to 15 of 122 entries, 5 total columns</t>
  </si>
  <si>
    <t>State AUC</t>
  </si>
  <si>
    <t>Showing 1 to 15 of 21 entries, 6 total columns</t>
  </si>
  <si>
    <t>ALL</t>
  </si>
  <si>
    <t>Showing 1 to 15 of 61 entries, 5 total columns</t>
  </si>
  <si>
    <t>Running all models together</t>
  </si>
  <si>
    <t>OOB estimate of  error rate: 25.91%</t>
  </si>
  <si>
    <t>0 8390 2978   0.2619634</t>
  </si>
  <si>
    <t>1 2900 8421   0.2561611</t>
  </si>
  <si>
    <t>Showing 1 to 11 of 11 entries, 6 total columns</t>
  </si>
  <si>
    <t>Top 20 Variables</t>
  </si>
  <si>
    <t>Top 10 Variables</t>
  </si>
  <si>
    <t>avg rank</t>
  </si>
  <si>
    <t>RANK</t>
  </si>
  <si>
    <t>Std Coefficient</t>
  </si>
  <si>
    <t>ROUND 2 - OVERLAPPING VARIABLES FROM ROUND 1</t>
  </si>
  <si>
    <t>Showing 1 to 7 of 7 entries, 6 total columns</t>
  </si>
  <si>
    <t>ROUND 3 - VARIABLES FROM COMBINED ONLY WITHOUT ASSENT DIFF</t>
  </si>
  <si>
    <t>Showing 1 to 6 of 6 entries, 6 total columns</t>
  </si>
  <si>
    <t>ROUND 3 - OVERLAPPING VARIABLES FROM STATE GLM + ASSENT DIFF</t>
  </si>
  <si>
    <t>Llama-3.3-70B-Instruct</t>
  </si>
  <si>
    <t>STATE ONLY - 8 VARIABLES</t>
  </si>
  <si>
    <t>Qwen2.5-72B-Instruct</t>
  </si>
  <si>
    <t>STATE ONLY - 5 VARIABLES</t>
  </si>
  <si>
    <t>COMBINED - 5 VARIABLES + ASSENT DIFF</t>
  </si>
  <si>
    <t>COMBINED - 8 VARIABLES PLUS ASSENT DIFF</t>
  </si>
  <si>
    <t>Diff from State</t>
  </si>
  <si>
    <t>Call:</t>
  </si>
  <si>
    <t>glm(formula = assent ~ turn_no * turn_of_flip, data = plot_data)</t>
  </si>
  <si>
    <t xml:space="preserve">Deviance Residuals: </t>
  </si>
  <si>
    <t xml:space="preserve">     Min        1Q    Median        3Q       Max  </t>
  </si>
  <si>
    <t xml:space="preserve">-0.12445  -0.04403  -0.03911  -0.03419   2.14842  </t>
  </si>
  <si>
    <t>Coefficients:</t>
  </si>
  <si>
    <t xml:space="preserve">                            Estimate Std. Error t value Pr(&gt;|t|)    </t>
  </si>
  <si>
    <t>(Intercept)                 0.031726   0.005731   5.536 3.21e-08 ***</t>
  </si>
  <si>
    <t xml:space="preserve">turn_no                     0.002460   0.001728   1.424  0.15459    </t>
  </si>
  <si>
    <t>turn_of_flipTurn 2         -0.123162   0.025424  -4.844 1.30e-06 ***</t>
  </si>
  <si>
    <t>turn_of_flipTurn 3         -0.089137   0.016469  -5.412 6.44e-08 ***</t>
  </si>
  <si>
    <t xml:space="preserve">turn_of_flipTurn 4         -0.047661   0.014581  -3.269  0.00109 ** </t>
  </si>
  <si>
    <t xml:space="preserve">turn_of_flipTurn 5          0.026136   0.018897   1.383  0.16669    </t>
  </si>
  <si>
    <t>turn_no:turn_of_flipTurn 2  0.105483   0.015760   6.693 2.36e-11 ***</t>
  </si>
  <si>
    <t>turn_no:turn_of_flipTurn 3  0.056982   0.007353   7.749 1.06e-14 ***</t>
  </si>
  <si>
    <t>turn_no:turn_of_flipTurn 4  0.026713   0.005192   5.145 2.74e-07 ***</t>
  </si>
  <si>
    <t xml:space="preserve">turn_no:turn_of_flipTurn 5 -0.005218   0.005698  -0.916  0.35975    </t>
  </si>
  <si>
    <t>---</t>
  </si>
  <si>
    <t>Signif. codes:  0 ‘***’ 0.001 ‘**’ 0.01 ‘*’ 0.05 ‘.’ 0.1 ‘ ’ 1</t>
  </si>
  <si>
    <t>(Dispersion parameter for gaussian family taken to be 0.02564492)</t>
  </si>
  <si>
    <t xml:space="preserve">    Null deviance: 177.73  on 6756  degrees of freedom</t>
  </si>
  <si>
    <t>Residual deviance: 173.03  on 6747  degrees of freedom</t>
  </si>
  <si>
    <t>AIC: -5566.1</t>
  </si>
  <si>
    <t>Number of Fisher Scoring iterations: 2</t>
  </si>
  <si>
    <t>No Flip</t>
  </si>
  <si>
    <t>Turn 2</t>
  </si>
  <si>
    <t>Turn 3</t>
  </si>
  <si>
    <t>Turn 4</t>
  </si>
  <si>
    <t>Turn 5</t>
  </si>
  <si>
    <t xml:space="preserve">-0.15149  -0.03538  -0.03005  -0.02471   2.12843  </t>
  </si>
  <si>
    <t xml:space="preserve">                             Estimate Std. Error t value Pr(&gt;|t|)    </t>
  </si>
  <si>
    <t>(Intercept)                 0.0380503  0.0043573   8.732  &lt; 2e-16 ***</t>
  </si>
  <si>
    <t xml:space="preserve">turn_no                    -0.0026673  0.0013138  -2.030 0.042366 *  </t>
  </si>
  <si>
    <t>turn_of_flipTurn 2         -0.1598588  0.0218115  -7.329 2.57e-13 ***</t>
  </si>
  <si>
    <t>turn_of_flipTurn 3         -0.0829965  0.0142707  -5.816 6.29e-09 ***</t>
  </si>
  <si>
    <t>turn_of_flipTurn 4         -0.0446412  0.0116654  -3.827 0.000131 ***</t>
  </si>
  <si>
    <t xml:space="preserve">turn_of_flipTurn 5          0.0226349  0.0192049   1.179 0.238596    </t>
  </si>
  <si>
    <t>turn_no:turn_of_flipTurn 2  0.1393163  0.0135804  10.259  &lt; 2e-16 ***</t>
  </si>
  <si>
    <t>turn_no:turn_of_flipTurn 3  0.0481742  0.0064263   7.496 7.35e-14 ***</t>
  </si>
  <si>
    <t>turn_no:turn_of_flipTurn 4  0.0233173  0.0041640   5.600 2.23e-08 ***</t>
  </si>
  <si>
    <t xml:space="preserve">turn_no:turn_of_flipTurn 5 -0.0004993  0.0057905  -0.086 0.931284    </t>
  </si>
  <si>
    <t>(Dispersion parameter for gaussian family taken to be 0.01717404)</t>
  </si>
  <si>
    <t xml:space="preserve">    Null deviance: 127.06  on 7151  degrees of freedom</t>
  </si>
  <si>
    <t>Residual deviance: 122.66  on 7142  degrees of freedom</t>
  </si>
  <si>
    <t>AIC: -8759.8</t>
  </si>
  <si>
    <t xml:space="preserve">-0.40149  -0.12684  -0.08250  -0.06032   2.20316  </t>
  </si>
  <si>
    <t xml:space="preserve">                           Estimate Std. Error t value Pr(&gt;|t|)    </t>
  </si>
  <si>
    <t>(Intercept)                 0.03815    0.00733   5.204 1.99e-07 ***</t>
  </si>
  <si>
    <t>turn_no                     0.02217    0.00221  10.033  &lt; 2e-16 ***</t>
  </si>
  <si>
    <t>turn_of_flipTurn 2         -0.27829    0.05258  -5.292 1.24e-07 ***</t>
  </si>
  <si>
    <t>turn_of_flipTurn 3         -0.21783    0.03223  -6.759 1.48e-11 ***</t>
  </si>
  <si>
    <t xml:space="preserve">turn_of_flipTurn 4         -0.06904    0.02965  -2.328 0.019919 *  </t>
  </si>
  <si>
    <t xml:space="preserve">turn_of_flipTurn 5         -0.08152    0.03857  -2.114 0.034577 *  </t>
  </si>
  <si>
    <t>turn_no:turn_of_flipTurn 2  0.26586    0.03301   8.055 8.97e-16 ***</t>
  </si>
  <si>
    <t>turn_no:turn_of_flipTurn 3  0.17155    0.01469  11.674  &lt; 2e-16 ***</t>
  </si>
  <si>
    <t>turn_no:turn_of_flipTurn 4  0.08525    0.01072   7.951 2.06e-15 ***</t>
  </si>
  <si>
    <t>turn_no:turn_of_flipTurn 5  0.03870    0.01163   3.328 0.000877 ***</t>
  </si>
  <si>
    <t>(Dispersion parameter for gaussian family taken to be 0.07429359)</t>
  </si>
  <si>
    <t xml:space="preserve">    Null deviance: 736.22  on 9231  degrees of freedom</t>
  </si>
  <si>
    <t>Residual deviance: 685.14  on 9222  degrees of freedom</t>
  </si>
  <si>
    <t>AIC: 2210.6</t>
  </si>
  <si>
    <t xml:space="preserve">-0.23577  -0.09724  -0.07871  -0.06945   1.62276  </t>
  </si>
  <si>
    <t>(Intercept)                 0.060182   0.006034   9.974  &lt; 2e-16 ***</t>
  </si>
  <si>
    <t>turn_no                     0.009266   0.001819   5.093  3.6e-07 ***</t>
  </si>
  <si>
    <t xml:space="preserve">turn_of_flipTurn 2         -0.143050   0.043884  -3.260 0.001120 ** </t>
  </si>
  <si>
    <t xml:space="preserve">turn_of_flipTurn 3         -0.092348   0.033349  -2.769 0.005633 ** </t>
  </si>
  <si>
    <t xml:space="preserve">turn_of_flipTurn 4         -0.011824   0.032005  -0.369 0.711796    </t>
  </si>
  <si>
    <t xml:space="preserve">turn_of_flipTurn 5         -0.113451   0.044574  -2.545 0.010940 *  </t>
  </si>
  <si>
    <t xml:space="preserve">turn_no:turn_of_flipTurn 2  0.082292   0.027551   2.987 0.002827 ** </t>
  </si>
  <si>
    <t xml:space="preserve">turn_no:turn_of_flipTurn 3  0.049434   0.015291   3.233 0.001231 ** </t>
  </si>
  <si>
    <t xml:space="preserve">turn_no:turn_of_flipTurn 4  0.007220   0.011620   0.621 0.534395    </t>
  </si>
  <si>
    <t>turn_no:turn_of_flipTurn 5  0.048542   0.013440   3.612 0.000306 ***</t>
  </si>
  <si>
    <t>(Dispersion parameter for gaussian family taken to be 0.04610227)</t>
  </si>
  <si>
    <t xml:space="preserve">    Null deviance: 368.39  on 7918  degrees of freedom</t>
  </si>
  <si>
    <t>Residual deviance: 364.62  on 7909  degrees of freedom</t>
  </si>
  <si>
    <t>AIC: -1880.8</t>
  </si>
  <si>
    <t xml:space="preserve">-0.25513  -0.11978  -0.08643   0.15355   1.77690  </t>
  </si>
  <si>
    <t>(Intercept)                 0.053083   0.004717  11.254  &lt; 2e-16 ***</t>
  </si>
  <si>
    <t>turn_no                     0.016673   0.001422  11.724  &lt; 2e-16 ***</t>
  </si>
  <si>
    <t xml:space="preserve">turn_of_flipTurn 2         -0.109651   0.051594  -2.125 0.033592 *  </t>
  </si>
  <si>
    <t xml:space="preserve">turn_of_flipTurn 3         -0.108113   0.038344  -2.820 0.004819 ** </t>
  </si>
  <si>
    <t xml:space="preserve">turn_of_flipTurn 4         -0.076192   0.027189  -2.802 0.005085 ** </t>
  </si>
  <si>
    <t>turn_of_flipTurn 5         -0.106930   0.031936  -3.348 0.000817 ***</t>
  </si>
  <si>
    <t xml:space="preserve">turn_no:turn_of_flipTurn 2  0.056760   0.032526   1.745 0.081003 .  </t>
  </si>
  <si>
    <t xml:space="preserve">turn_no:turn_of_flipTurn 3  0.053327   0.017672   3.018 0.002555 ** </t>
  </si>
  <si>
    <t>turn_no:turn_of_flipTurn 4  0.035462   0.009880   3.589 0.000333 ***</t>
  </si>
  <si>
    <t>turn_no:turn_of_flipTurn 5  0.045122   0.009629   4.686 2.83e-06 ***</t>
  </si>
  <si>
    <t>(Dispersion parameter for gaussian family taken to be 0.03537249)</t>
  </si>
  <si>
    <t xml:space="preserve">    Null deviance: 345.78  on 9540  degrees of freedom</t>
  </si>
  <si>
    <t>Residual deviance: 337.14  on 9531  degrees of freedom</t>
  </si>
  <si>
    <t>AIC: -4796.1</t>
  </si>
  <si>
    <t>DeepSeek-R1</t>
  </si>
  <si>
    <t>Overall</t>
  </si>
  <si>
    <t>tone_neg*</t>
  </si>
  <si>
    <t>Common Variables Across Models</t>
  </si>
  <si>
    <t>Model Specific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</si>
</sst>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0" fontId="0" fillId="0" borderId="0" xfId="0" applyNumberFormat="1"/>
    <xf numFmtId="10" fontId="2" fillId="0" borderId="0" xfId="0" applyNumberFormat="1" applyFont="1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9" fontId="2" fillId="0" borderId="0" xfId="0" applyNumberFormat="1" applyFont="1"/>
    <xf numFmtId="0" fontId="0" fillId="4" borderId="0" xfId="0" applyFill="1"/>
    <xf numFmtId="0" fontId="1" fillId="0" borderId="0" xfId="0" applyFont="1" applyFill="1"/>
    <xf numFmtId="0" fontId="1" fillId="4" borderId="0" xfId="0" applyFont="1" applyFill="1"/>
    <xf numFmtId="0" fontId="2" fillId="0" borderId="0" xfId="0" applyFont="1" applyFill="1"/>
    <xf numFmtId="10" fontId="2" fillId="0" borderId="0" xfId="0" applyNumberFormat="1" applyFont="1" applyFill="1"/>
    <xf numFmtId="173" fontId="0" fillId="0" borderId="0" xfId="0" applyNumberFormat="1"/>
    <xf numFmtId="0" fontId="4" fillId="0" borderId="0" xfId="0" applyFont="1"/>
    <xf numFmtId="10" fontId="4" fillId="0" borderId="0" xfId="0" applyNumberFormat="1" applyFont="1"/>
    <xf numFmtId="0" fontId="2" fillId="4" borderId="0" xfId="0" applyFont="1" applyFill="1"/>
    <xf numFmtId="0" fontId="5" fillId="5" borderId="0" xfId="0" applyFont="1" applyFill="1"/>
    <xf numFmtId="0" fontId="6" fillId="0" borderId="0" xfId="0" applyFont="1"/>
    <xf numFmtId="0" fontId="6" fillId="5" borderId="0" xfId="0" applyFont="1" applyFill="1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10" fontId="5" fillId="0" borderId="0" xfId="0" applyNumberFormat="1" applyFont="1" applyFill="1"/>
    <xf numFmtId="10" fontId="0" fillId="0" borderId="0" xfId="0" applyNumberFormat="1" applyFill="1"/>
    <xf numFmtId="0" fontId="0" fillId="0" borderId="0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" xfId="0" applyFill="1" applyBorder="1"/>
    <xf numFmtId="2" fontId="0" fillId="0" borderId="3" xfId="0" applyNumberFormat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101600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4312DCE-CE96-8A55-4645-B2DAB4F9DB7C}"/>
            </a:ext>
          </a:extLst>
        </xdr:cNvPr>
        <xdr:cNvSpPr>
          <a:spLocks noChangeAspect="1" noChangeArrowheads="1"/>
        </xdr:cNvSpPr>
      </xdr:nvSpPr>
      <xdr:spPr bwMode="auto">
        <a:xfrm>
          <a:off x="49530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19</xdr:row>
      <xdr:rowOff>101600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168CB8C4-6F7B-79AD-220B-22861B3C0BC4}"/>
            </a:ext>
          </a:extLst>
        </xdr:cNvPr>
        <xdr:cNvSpPr>
          <a:spLocks noChangeAspect="1" noChangeArrowheads="1"/>
        </xdr:cNvSpPr>
      </xdr:nvSpPr>
      <xdr:spPr bwMode="auto">
        <a:xfrm>
          <a:off x="57785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D9BB-3183-8C41-8636-24D643FF0FEF}">
  <dimension ref="A1:AA73"/>
  <sheetViews>
    <sheetView workbookViewId="0">
      <selection activeCell="O9" sqref="O9:T30"/>
    </sheetView>
  </sheetViews>
  <sheetFormatPr baseColWidth="10" defaultRowHeight="16" x14ac:dyDescent="0.2"/>
  <cols>
    <col min="1" max="1" width="5.83203125" customWidth="1"/>
  </cols>
  <sheetData>
    <row r="1" spans="1:27" x14ac:dyDescent="0.2">
      <c r="A1" s="3" t="s">
        <v>83</v>
      </c>
      <c r="H1" s="3" t="s">
        <v>84</v>
      </c>
      <c r="O1" s="3" t="s">
        <v>85</v>
      </c>
      <c r="V1" s="3" t="s">
        <v>213</v>
      </c>
    </row>
    <row r="2" spans="1:27" x14ac:dyDescent="0.2">
      <c r="A2" s="3"/>
      <c r="H2" s="3"/>
      <c r="O2" s="3"/>
      <c r="V2" s="3"/>
    </row>
    <row r="3" spans="1:27" x14ac:dyDescent="0.2">
      <c r="A3" s="18" t="s">
        <v>187</v>
      </c>
      <c r="H3" s="18" t="s">
        <v>184</v>
      </c>
      <c r="O3" s="18" t="s">
        <v>188</v>
      </c>
      <c r="V3" s="18" t="s">
        <v>216</v>
      </c>
    </row>
    <row r="4" spans="1:27" x14ac:dyDescent="0.2">
      <c r="A4" s="18" t="s">
        <v>173</v>
      </c>
      <c r="H4" s="18" t="s">
        <v>173</v>
      </c>
      <c r="O4" s="18" t="s">
        <v>173</v>
      </c>
      <c r="V4" s="18" t="s">
        <v>173</v>
      </c>
    </row>
    <row r="5" spans="1:27" x14ac:dyDescent="0.2">
      <c r="A5" s="18" t="s">
        <v>174</v>
      </c>
      <c r="H5" s="18" t="s">
        <v>174</v>
      </c>
      <c r="O5" s="18" t="s">
        <v>174</v>
      </c>
      <c r="V5" s="18" t="s">
        <v>174</v>
      </c>
    </row>
    <row r="6" spans="1:27" x14ac:dyDescent="0.2">
      <c r="A6" s="18" t="s">
        <v>182</v>
      </c>
      <c r="H6" s="18" t="s">
        <v>185</v>
      </c>
      <c r="O6" s="18" t="s">
        <v>179</v>
      </c>
      <c r="V6" s="18" t="s">
        <v>217</v>
      </c>
    </row>
    <row r="7" spans="1:27" x14ac:dyDescent="0.2">
      <c r="A7" s="18" t="s">
        <v>183</v>
      </c>
      <c r="H7" s="18" t="s">
        <v>186</v>
      </c>
      <c r="O7" s="18" t="s">
        <v>180</v>
      </c>
      <c r="V7" s="18" t="s">
        <v>218</v>
      </c>
    </row>
    <row r="8" spans="1:27" x14ac:dyDescent="0.2">
      <c r="A8" s="3"/>
      <c r="H8" s="3"/>
      <c r="O8" s="3"/>
      <c r="V8" s="3"/>
    </row>
    <row r="9" spans="1:27" x14ac:dyDescent="0.2">
      <c r="A9" s="3" t="s">
        <v>65</v>
      </c>
      <c r="B9" s="3" t="s">
        <v>156</v>
      </c>
      <c r="C9" s="3">
        <v>0</v>
      </c>
      <c r="D9" s="3">
        <v>1</v>
      </c>
      <c r="E9" s="3" t="s">
        <v>157</v>
      </c>
      <c r="F9" s="3" t="s">
        <v>68</v>
      </c>
      <c r="H9" s="3"/>
      <c r="I9" s="3" t="s">
        <v>156</v>
      </c>
      <c r="J9" s="3">
        <v>0</v>
      </c>
      <c r="K9" s="3">
        <v>1</v>
      </c>
      <c r="L9" s="3" t="s">
        <v>157</v>
      </c>
      <c r="M9" s="3" t="s">
        <v>68</v>
      </c>
      <c r="O9" s="3" t="s">
        <v>65</v>
      </c>
      <c r="P9" s="3" t="s">
        <v>156</v>
      </c>
      <c r="Q9" s="3">
        <v>0</v>
      </c>
      <c r="R9" s="3">
        <v>1</v>
      </c>
      <c r="S9" s="3" t="s">
        <v>157</v>
      </c>
      <c r="T9" s="3" t="s">
        <v>68</v>
      </c>
      <c r="V9" s="3" t="s">
        <v>65</v>
      </c>
      <c r="W9" s="3" t="s">
        <v>156</v>
      </c>
      <c r="X9" s="3">
        <v>0</v>
      </c>
      <c r="Y9" s="3">
        <v>1</v>
      </c>
      <c r="Z9" s="3" t="s">
        <v>157</v>
      </c>
      <c r="AA9" s="3" t="s">
        <v>68</v>
      </c>
    </row>
    <row r="11" spans="1:27" x14ac:dyDescent="0.2">
      <c r="A11">
        <v>1</v>
      </c>
      <c r="B11" t="s">
        <v>0</v>
      </c>
      <c r="C11">
        <v>32.667203309999998</v>
      </c>
      <c r="D11">
        <v>31.146213700000001</v>
      </c>
      <c r="E11">
        <v>40.404524199999997</v>
      </c>
      <c r="F11">
        <v>128.47383608000001</v>
      </c>
      <c r="H11">
        <v>1</v>
      </c>
      <c r="I11" t="s">
        <v>5</v>
      </c>
      <c r="J11">
        <v>16.09564</v>
      </c>
      <c r="K11">
        <v>39.775042999999997</v>
      </c>
      <c r="L11">
        <v>42.560108399999997</v>
      </c>
      <c r="M11">
        <v>148.62922750000001</v>
      </c>
      <c r="O11">
        <v>1</v>
      </c>
      <c r="P11" t="s">
        <v>5</v>
      </c>
      <c r="Q11">
        <v>16.09564</v>
      </c>
      <c r="R11">
        <v>39.775042999999997</v>
      </c>
      <c r="S11">
        <v>42.560108399999997</v>
      </c>
      <c r="T11">
        <v>148.62922750000001</v>
      </c>
      <c r="V11">
        <v>1</v>
      </c>
      <c r="W11" t="s">
        <v>1</v>
      </c>
      <c r="X11">
        <v>45.295954000000002</v>
      </c>
      <c r="Y11">
        <v>37.500647999999998</v>
      </c>
      <c r="Z11">
        <v>52.886380699999997</v>
      </c>
      <c r="AA11">
        <v>483.93961818000002</v>
      </c>
    </row>
    <row r="12" spans="1:27" x14ac:dyDescent="0.2">
      <c r="A12">
        <v>2</v>
      </c>
      <c r="B12" t="s">
        <v>1</v>
      </c>
      <c r="C12">
        <v>21.055729629999998</v>
      </c>
      <c r="D12">
        <v>27.097792999999999</v>
      </c>
      <c r="E12">
        <v>32.742874999999998</v>
      </c>
      <c r="F12">
        <v>121.11304092</v>
      </c>
      <c r="H12">
        <v>2</v>
      </c>
      <c r="I12" t="s">
        <v>1</v>
      </c>
      <c r="J12">
        <v>25.675694</v>
      </c>
      <c r="K12">
        <v>33.613883999999999</v>
      </c>
      <c r="L12">
        <v>38.470366499999997</v>
      </c>
      <c r="M12">
        <v>149.5508925</v>
      </c>
      <c r="O12">
        <v>2</v>
      </c>
      <c r="P12" t="s">
        <v>1</v>
      </c>
      <c r="Q12">
        <v>25.675694</v>
      </c>
      <c r="R12">
        <v>33.613883999999999</v>
      </c>
      <c r="S12">
        <v>38.470366499999997</v>
      </c>
      <c r="T12">
        <v>149.5508925</v>
      </c>
      <c r="V12">
        <v>2</v>
      </c>
      <c r="W12" t="s">
        <v>5</v>
      </c>
      <c r="X12">
        <v>32.903722999999999</v>
      </c>
      <c r="Y12">
        <v>47.518701999999998</v>
      </c>
      <c r="Z12">
        <v>52.376816499999997</v>
      </c>
      <c r="AA12">
        <v>356.60713048000002</v>
      </c>
    </row>
    <row r="13" spans="1:27" x14ac:dyDescent="0.2">
      <c r="A13">
        <v>3</v>
      </c>
      <c r="B13" t="s">
        <v>2</v>
      </c>
      <c r="C13">
        <v>23.79212506</v>
      </c>
      <c r="D13">
        <v>20.870866700000001</v>
      </c>
      <c r="E13">
        <v>31.749899200000002</v>
      </c>
      <c r="F13">
        <v>100.54449729</v>
      </c>
      <c r="H13">
        <v>3</v>
      </c>
      <c r="I13" t="s">
        <v>21</v>
      </c>
      <c r="J13">
        <v>10.117554999999999</v>
      </c>
      <c r="K13">
        <v>32.729106000000002</v>
      </c>
      <c r="L13">
        <v>33.448916699999998</v>
      </c>
      <c r="M13">
        <v>121.96990820000001</v>
      </c>
      <c r="O13">
        <v>3</v>
      </c>
      <c r="P13" t="s">
        <v>21</v>
      </c>
      <c r="Q13">
        <v>10.117554999999999</v>
      </c>
      <c r="R13">
        <v>32.729106000000002</v>
      </c>
      <c r="S13">
        <v>33.448916699999998</v>
      </c>
      <c r="T13">
        <v>121.96990820000001</v>
      </c>
      <c r="V13">
        <v>3</v>
      </c>
      <c r="W13" t="s">
        <v>3</v>
      </c>
      <c r="X13">
        <v>39.706313999999999</v>
      </c>
      <c r="Y13">
        <v>38.057304000000002</v>
      </c>
      <c r="Z13">
        <v>48.236902800000003</v>
      </c>
      <c r="AA13">
        <v>341.02191784000001</v>
      </c>
    </row>
    <row r="14" spans="1:27" x14ac:dyDescent="0.2">
      <c r="A14">
        <v>4</v>
      </c>
      <c r="B14" t="s">
        <v>3</v>
      </c>
      <c r="C14">
        <v>21.70805266</v>
      </c>
      <c r="D14">
        <v>23.784444400000002</v>
      </c>
      <c r="E14">
        <v>28.683489600000001</v>
      </c>
      <c r="F14">
        <v>95.703901709999997</v>
      </c>
      <c r="H14">
        <v>4</v>
      </c>
      <c r="I14" t="s">
        <v>3</v>
      </c>
      <c r="J14">
        <v>26.658317</v>
      </c>
      <c r="K14">
        <v>27.182611999999999</v>
      </c>
      <c r="L14">
        <v>32.947576499999997</v>
      </c>
      <c r="M14">
        <v>116.2765977</v>
      </c>
      <c r="O14">
        <v>4</v>
      </c>
      <c r="P14" t="s">
        <v>3</v>
      </c>
      <c r="Q14">
        <v>26.658317</v>
      </c>
      <c r="R14">
        <v>27.182611999999999</v>
      </c>
      <c r="S14">
        <v>32.947576499999997</v>
      </c>
      <c r="T14">
        <v>116.2765977</v>
      </c>
      <c r="V14">
        <v>4</v>
      </c>
      <c r="W14" t="s">
        <v>0</v>
      </c>
      <c r="X14">
        <v>39.401608000000003</v>
      </c>
      <c r="Y14">
        <v>34.452472</v>
      </c>
      <c r="Z14">
        <v>45.347681199999997</v>
      </c>
      <c r="AA14">
        <v>265.60958849000002</v>
      </c>
    </row>
    <row r="15" spans="1:27" x14ac:dyDescent="0.2">
      <c r="A15">
        <v>5</v>
      </c>
      <c r="B15" t="s">
        <v>5</v>
      </c>
      <c r="C15">
        <v>15.32118301</v>
      </c>
      <c r="D15">
        <v>20.027597799999999</v>
      </c>
      <c r="E15">
        <v>23.1836044</v>
      </c>
      <c r="F15">
        <v>74.017417710000004</v>
      </c>
      <c r="H15">
        <v>5</v>
      </c>
      <c r="I15" t="s">
        <v>4</v>
      </c>
      <c r="J15">
        <v>19.909043</v>
      </c>
      <c r="K15">
        <v>20.115162000000002</v>
      </c>
      <c r="L15">
        <v>27.551089999999999</v>
      </c>
      <c r="M15">
        <v>121.39541749999999</v>
      </c>
      <c r="O15">
        <v>5</v>
      </c>
      <c r="P15" t="s">
        <v>4</v>
      </c>
      <c r="Q15">
        <v>19.909043</v>
      </c>
      <c r="R15">
        <v>20.115162000000002</v>
      </c>
      <c r="S15">
        <v>27.551089999999999</v>
      </c>
      <c r="T15">
        <v>121.39541749999999</v>
      </c>
      <c r="V15">
        <v>5</v>
      </c>
      <c r="W15" t="s">
        <v>2</v>
      </c>
      <c r="X15">
        <v>39.288640000000001</v>
      </c>
      <c r="Y15">
        <v>33.076003999999998</v>
      </c>
      <c r="Z15">
        <v>44.081963799999997</v>
      </c>
      <c r="AA15">
        <v>313.11721576000002</v>
      </c>
    </row>
    <row r="16" spans="1:27" x14ac:dyDescent="0.2">
      <c r="A16">
        <v>6</v>
      </c>
      <c r="B16" t="s">
        <v>6</v>
      </c>
      <c r="C16">
        <v>8.8525010200000001</v>
      </c>
      <c r="D16">
        <v>17.6411093</v>
      </c>
      <c r="E16">
        <v>21.219060500000001</v>
      </c>
      <c r="F16">
        <v>85.336853950000005</v>
      </c>
      <c r="H16">
        <v>6</v>
      </c>
      <c r="I16" t="s">
        <v>12</v>
      </c>
      <c r="J16">
        <v>20.887996000000001</v>
      </c>
      <c r="K16">
        <v>20.272272999999998</v>
      </c>
      <c r="L16">
        <v>26.878028199999999</v>
      </c>
      <c r="M16">
        <v>129.2814223</v>
      </c>
      <c r="O16">
        <v>6</v>
      </c>
      <c r="P16" t="s">
        <v>12</v>
      </c>
      <c r="Q16">
        <v>20.887996000000001</v>
      </c>
      <c r="R16">
        <v>20.272272999999998</v>
      </c>
      <c r="S16">
        <v>26.878028199999999</v>
      </c>
      <c r="T16">
        <v>129.2814223</v>
      </c>
      <c r="V16">
        <v>6</v>
      </c>
      <c r="W16" t="s">
        <v>7</v>
      </c>
      <c r="X16">
        <v>32.747889999999998</v>
      </c>
      <c r="Y16">
        <v>23.80377</v>
      </c>
      <c r="Z16">
        <v>38.855310199999998</v>
      </c>
      <c r="AA16">
        <v>368.18113806000002</v>
      </c>
    </row>
    <row r="17" spans="1:27" x14ac:dyDescent="0.2">
      <c r="A17">
        <v>7</v>
      </c>
      <c r="B17" t="s">
        <v>4</v>
      </c>
      <c r="C17">
        <v>18.921008180000001</v>
      </c>
      <c r="D17">
        <v>11.9112483</v>
      </c>
      <c r="E17">
        <v>21.210044199999999</v>
      </c>
      <c r="F17">
        <v>110.75784243</v>
      </c>
      <c r="H17">
        <v>7</v>
      </c>
      <c r="I17" t="s">
        <v>7</v>
      </c>
      <c r="J17">
        <v>23.365447</v>
      </c>
      <c r="K17">
        <v>14.546694</v>
      </c>
      <c r="L17">
        <v>26.311558900000001</v>
      </c>
      <c r="M17">
        <v>120.07361299999999</v>
      </c>
      <c r="O17">
        <v>7</v>
      </c>
      <c r="P17" t="s">
        <v>7</v>
      </c>
      <c r="Q17">
        <v>23.365447</v>
      </c>
      <c r="R17">
        <v>14.546694</v>
      </c>
      <c r="S17">
        <v>26.311558900000001</v>
      </c>
      <c r="T17">
        <v>120.07361299999999</v>
      </c>
      <c r="V17">
        <v>7</v>
      </c>
      <c r="W17" t="s">
        <v>4</v>
      </c>
      <c r="X17">
        <v>28.292802999999999</v>
      </c>
      <c r="Y17">
        <v>26.144548</v>
      </c>
      <c r="Z17">
        <v>35.619082499999998</v>
      </c>
      <c r="AA17">
        <v>358.62962056999999</v>
      </c>
    </row>
    <row r="18" spans="1:27" x14ac:dyDescent="0.2">
      <c r="A18">
        <v>8</v>
      </c>
      <c r="B18" t="s">
        <v>9</v>
      </c>
      <c r="C18">
        <v>11.02887308</v>
      </c>
      <c r="D18">
        <v>16.812597799999999</v>
      </c>
      <c r="E18">
        <v>20.2696799</v>
      </c>
      <c r="F18">
        <v>89.763372189999998</v>
      </c>
      <c r="H18">
        <v>8</v>
      </c>
      <c r="I18" t="s">
        <v>0</v>
      </c>
      <c r="J18">
        <v>18.144120000000001</v>
      </c>
      <c r="K18">
        <v>23.742132999999999</v>
      </c>
      <c r="L18">
        <v>26.090862900000001</v>
      </c>
      <c r="M18">
        <v>77.194715900000006</v>
      </c>
      <c r="O18">
        <v>8</v>
      </c>
      <c r="P18" t="s">
        <v>0</v>
      </c>
      <c r="Q18">
        <v>18.144120000000001</v>
      </c>
      <c r="R18">
        <v>23.742132999999999</v>
      </c>
      <c r="S18">
        <v>26.090862900000001</v>
      </c>
      <c r="T18">
        <v>77.194715900000006</v>
      </c>
      <c r="V18">
        <v>8</v>
      </c>
      <c r="W18" t="s">
        <v>6</v>
      </c>
      <c r="X18">
        <v>3.554408</v>
      </c>
      <c r="Y18">
        <v>33.260038000000002</v>
      </c>
      <c r="Z18">
        <v>33.859073100000003</v>
      </c>
      <c r="AA18">
        <v>253.77491714999999</v>
      </c>
    </row>
    <row r="19" spans="1:27" x14ac:dyDescent="0.2">
      <c r="A19">
        <v>9</v>
      </c>
      <c r="B19" t="s">
        <v>10</v>
      </c>
      <c r="C19">
        <v>14.93031216</v>
      </c>
      <c r="D19">
        <v>13.0666533</v>
      </c>
      <c r="E19">
        <v>19.567702600000001</v>
      </c>
      <c r="F19">
        <v>88.598320439999995</v>
      </c>
      <c r="H19">
        <v>9</v>
      </c>
      <c r="I19" t="s">
        <v>9</v>
      </c>
      <c r="J19">
        <v>10.988572</v>
      </c>
      <c r="K19">
        <v>23.343181000000001</v>
      </c>
      <c r="L19">
        <v>25.083700199999999</v>
      </c>
      <c r="M19">
        <v>105.5667421</v>
      </c>
      <c r="O19">
        <v>9</v>
      </c>
      <c r="P19" t="s">
        <v>9</v>
      </c>
      <c r="Q19">
        <v>10.988572</v>
      </c>
      <c r="R19">
        <v>23.343181000000001</v>
      </c>
      <c r="S19">
        <v>25.083700199999999</v>
      </c>
      <c r="T19">
        <v>105.5667421</v>
      </c>
      <c r="V19">
        <v>9</v>
      </c>
      <c r="W19" t="s">
        <v>9</v>
      </c>
      <c r="X19">
        <v>20.804901000000001</v>
      </c>
      <c r="Y19">
        <v>21.452556999999999</v>
      </c>
      <c r="Z19">
        <v>30.484077899999999</v>
      </c>
      <c r="AA19">
        <v>290.41787775</v>
      </c>
    </row>
    <row r="20" spans="1:27" x14ac:dyDescent="0.2">
      <c r="A20">
        <v>10</v>
      </c>
      <c r="B20" t="s">
        <v>8</v>
      </c>
      <c r="C20">
        <v>9.7884963799999998</v>
      </c>
      <c r="D20">
        <v>16.346106500000001</v>
      </c>
      <c r="E20">
        <v>18.981452699999998</v>
      </c>
      <c r="F20">
        <v>88.132555429999996</v>
      </c>
      <c r="H20">
        <v>10</v>
      </c>
      <c r="I20" t="s">
        <v>8</v>
      </c>
      <c r="J20">
        <v>7.9073669999999998</v>
      </c>
      <c r="K20">
        <v>18.910708</v>
      </c>
      <c r="L20">
        <v>24.0062745</v>
      </c>
      <c r="M20">
        <v>82.794549200000006</v>
      </c>
      <c r="O20">
        <v>10</v>
      </c>
      <c r="P20" t="s">
        <v>8</v>
      </c>
      <c r="Q20">
        <v>7.9073669999999998</v>
      </c>
      <c r="R20">
        <v>18.910708</v>
      </c>
      <c r="S20">
        <v>24.0062745</v>
      </c>
      <c r="T20">
        <v>82.794549200000006</v>
      </c>
      <c r="V20">
        <v>10</v>
      </c>
      <c r="W20" t="s">
        <v>13</v>
      </c>
      <c r="X20">
        <v>23.225961000000002</v>
      </c>
      <c r="Y20">
        <v>19.410087999999998</v>
      </c>
      <c r="Z20">
        <v>30.322167</v>
      </c>
      <c r="AA20">
        <v>266.34236189000001</v>
      </c>
    </row>
    <row r="21" spans="1:27" x14ac:dyDescent="0.2">
      <c r="A21">
        <v>11</v>
      </c>
      <c r="B21" t="s">
        <v>13</v>
      </c>
      <c r="C21">
        <v>11.221161159999999</v>
      </c>
      <c r="D21">
        <v>14.049367500000001</v>
      </c>
      <c r="E21">
        <v>18.4934105</v>
      </c>
      <c r="F21">
        <v>87.988750949999996</v>
      </c>
      <c r="H21">
        <v>11</v>
      </c>
      <c r="I21" t="s">
        <v>6</v>
      </c>
      <c r="J21">
        <v>4.9675229999999999</v>
      </c>
      <c r="K21">
        <v>23.055603000000001</v>
      </c>
      <c r="L21">
        <v>23.573993399999999</v>
      </c>
      <c r="M21">
        <v>77.259355499999998</v>
      </c>
      <c r="O21">
        <v>11</v>
      </c>
      <c r="P21" t="s">
        <v>6</v>
      </c>
      <c r="Q21">
        <v>4.9675229999999999</v>
      </c>
      <c r="R21">
        <v>23.055603000000001</v>
      </c>
      <c r="S21">
        <v>23.573993399999999</v>
      </c>
      <c r="T21">
        <v>77.259355499999998</v>
      </c>
      <c r="V21">
        <v>11</v>
      </c>
      <c r="W21" t="s">
        <v>21</v>
      </c>
      <c r="X21">
        <v>17.638497999999998</v>
      </c>
      <c r="Y21">
        <v>27.892237000000002</v>
      </c>
      <c r="Z21">
        <v>30.305869099999999</v>
      </c>
      <c r="AA21">
        <v>291.17327897000001</v>
      </c>
    </row>
    <row r="22" spans="1:27" x14ac:dyDescent="0.2">
      <c r="A22">
        <v>12</v>
      </c>
      <c r="B22" t="s">
        <v>12</v>
      </c>
      <c r="C22">
        <v>13.80804028</v>
      </c>
      <c r="D22">
        <v>11.2432494</v>
      </c>
      <c r="E22">
        <v>17.726837199999999</v>
      </c>
      <c r="F22">
        <v>96.648230479999995</v>
      </c>
      <c r="H22">
        <v>12</v>
      </c>
      <c r="I22" t="s">
        <v>28</v>
      </c>
      <c r="J22">
        <v>16.765101999999999</v>
      </c>
      <c r="K22">
        <v>18.106515000000002</v>
      </c>
      <c r="L22">
        <v>23.2138983</v>
      </c>
      <c r="M22">
        <v>107.2811512</v>
      </c>
      <c r="O22">
        <v>12</v>
      </c>
      <c r="P22" t="s">
        <v>28</v>
      </c>
      <c r="Q22">
        <v>16.765101999999999</v>
      </c>
      <c r="R22">
        <v>18.106515000000002</v>
      </c>
      <c r="S22">
        <v>23.2138983</v>
      </c>
      <c r="T22">
        <v>107.2811512</v>
      </c>
      <c r="V22">
        <v>12</v>
      </c>
      <c r="W22" t="s">
        <v>11</v>
      </c>
      <c r="X22">
        <v>20.685555000000001</v>
      </c>
      <c r="Y22">
        <v>26.281015</v>
      </c>
      <c r="Z22">
        <v>29.8773929</v>
      </c>
      <c r="AA22">
        <v>302.14827739999998</v>
      </c>
    </row>
    <row r="23" spans="1:27" x14ac:dyDescent="0.2">
      <c r="A23">
        <v>13</v>
      </c>
      <c r="B23" t="s">
        <v>16</v>
      </c>
      <c r="C23">
        <v>15.0555886</v>
      </c>
      <c r="D23">
        <v>8.8019105999999994</v>
      </c>
      <c r="E23">
        <v>17.291873500000001</v>
      </c>
      <c r="F23">
        <v>67.180638900000005</v>
      </c>
      <c r="H23">
        <v>13</v>
      </c>
      <c r="I23" t="s">
        <v>14</v>
      </c>
      <c r="J23">
        <v>13.426042000000001</v>
      </c>
      <c r="K23">
        <v>18.740051000000001</v>
      </c>
      <c r="L23">
        <v>23.179538999999998</v>
      </c>
      <c r="M23">
        <v>77.416228899999993</v>
      </c>
      <c r="O23">
        <v>13</v>
      </c>
      <c r="P23" t="s">
        <v>14</v>
      </c>
      <c r="Q23">
        <v>13.426042000000001</v>
      </c>
      <c r="R23">
        <v>18.740051000000001</v>
      </c>
      <c r="S23">
        <v>23.179538999999998</v>
      </c>
      <c r="T23">
        <v>77.416228899999993</v>
      </c>
      <c r="V23">
        <v>13</v>
      </c>
      <c r="W23" t="s">
        <v>14</v>
      </c>
      <c r="X23">
        <v>20.747326999999999</v>
      </c>
      <c r="Y23">
        <v>18.821731</v>
      </c>
      <c r="Z23">
        <v>29.859010300000001</v>
      </c>
      <c r="AA23">
        <v>230.78950245999999</v>
      </c>
    </row>
    <row r="24" spans="1:27" x14ac:dyDescent="0.2">
      <c r="A24">
        <v>14</v>
      </c>
      <c r="B24" t="s">
        <v>7</v>
      </c>
      <c r="C24">
        <v>14.743824050000001</v>
      </c>
      <c r="D24">
        <v>8.6585672999999996</v>
      </c>
      <c r="E24">
        <v>16.692572200000001</v>
      </c>
      <c r="F24">
        <v>96.335091969999993</v>
      </c>
      <c r="H24">
        <v>14</v>
      </c>
      <c r="I24" t="s">
        <v>24</v>
      </c>
      <c r="J24">
        <v>19.568878000000002</v>
      </c>
      <c r="K24">
        <v>13.443167000000001</v>
      </c>
      <c r="L24">
        <v>22.437504400000002</v>
      </c>
      <c r="M24">
        <v>91.256855200000004</v>
      </c>
      <c r="O24">
        <v>14</v>
      </c>
      <c r="P24" t="s">
        <v>24</v>
      </c>
      <c r="Q24">
        <v>19.568878000000002</v>
      </c>
      <c r="R24">
        <v>13.443167000000001</v>
      </c>
      <c r="S24">
        <v>22.437504400000002</v>
      </c>
      <c r="T24">
        <v>91.256855200000004</v>
      </c>
      <c r="V24">
        <v>14</v>
      </c>
      <c r="W24" t="s">
        <v>10</v>
      </c>
      <c r="X24">
        <v>22.13289</v>
      </c>
      <c r="Y24">
        <v>16.248480000000001</v>
      </c>
      <c r="Z24">
        <v>28.471603900000002</v>
      </c>
      <c r="AA24">
        <v>265.9367858</v>
      </c>
    </row>
    <row r="25" spans="1:27" x14ac:dyDescent="0.2">
      <c r="A25">
        <v>15</v>
      </c>
      <c r="B25" t="s">
        <v>11</v>
      </c>
      <c r="C25">
        <v>10.44153107</v>
      </c>
      <c r="D25">
        <v>13.2627521</v>
      </c>
      <c r="E25">
        <v>16.5950807</v>
      </c>
      <c r="F25">
        <v>92.896524080000006</v>
      </c>
      <c r="H25">
        <v>15</v>
      </c>
      <c r="I25" t="s">
        <v>15</v>
      </c>
      <c r="J25">
        <v>6.8563450000000001</v>
      </c>
      <c r="K25">
        <v>19.318486</v>
      </c>
      <c r="L25">
        <v>21.5219661</v>
      </c>
      <c r="M25">
        <v>70.248580200000006</v>
      </c>
      <c r="O25">
        <v>15</v>
      </c>
      <c r="P25" t="s">
        <v>15</v>
      </c>
      <c r="Q25">
        <v>6.8563450000000001</v>
      </c>
      <c r="R25">
        <v>19.318486</v>
      </c>
      <c r="S25">
        <v>21.5219661</v>
      </c>
      <c r="T25">
        <v>70.248580200000006</v>
      </c>
      <c r="V25">
        <v>15</v>
      </c>
      <c r="W25" t="s">
        <v>12</v>
      </c>
      <c r="X25">
        <v>22.985963999999999</v>
      </c>
      <c r="Y25">
        <v>20.323896000000001</v>
      </c>
      <c r="Z25">
        <v>28.391974300000001</v>
      </c>
      <c r="AA25">
        <v>295.75230369000002</v>
      </c>
    </row>
    <row r="26" spans="1:27" x14ac:dyDescent="0.2">
      <c r="A26">
        <v>16</v>
      </c>
      <c r="B26" t="s">
        <v>14</v>
      </c>
      <c r="C26">
        <v>10.42530981</v>
      </c>
      <c r="D26">
        <v>10.009160100000001</v>
      </c>
      <c r="E26">
        <v>16.2299367</v>
      </c>
      <c r="F26">
        <v>72.143132140000006</v>
      </c>
      <c r="H26">
        <v>16</v>
      </c>
      <c r="I26" t="s">
        <v>31</v>
      </c>
      <c r="J26">
        <v>15.533982</v>
      </c>
      <c r="K26">
        <v>11.891126</v>
      </c>
      <c r="L26">
        <v>21.100474200000001</v>
      </c>
      <c r="M26">
        <v>90.420870899999997</v>
      </c>
      <c r="O26">
        <v>16</v>
      </c>
      <c r="P26" t="s">
        <v>31</v>
      </c>
      <c r="Q26">
        <v>15.533982</v>
      </c>
      <c r="R26">
        <v>11.891126</v>
      </c>
      <c r="S26">
        <v>21.100474200000001</v>
      </c>
      <c r="T26">
        <v>90.420870899999997</v>
      </c>
      <c r="V26">
        <v>16</v>
      </c>
      <c r="W26" t="s">
        <v>17</v>
      </c>
      <c r="X26">
        <v>24.443645</v>
      </c>
      <c r="Y26">
        <v>15.879289999999999</v>
      </c>
      <c r="Z26">
        <v>27.032745299999998</v>
      </c>
      <c r="AA26">
        <v>269.22903278000001</v>
      </c>
    </row>
    <row r="27" spans="1:27" x14ac:dyDescent="0.2">
      <c r="A27">
        <v>17</v>
      </c>
      <c r="B27" t="s">
        <v>17</v>
      </c>
      <c r="C27">
        <v>15.370668480000001</v>
      </c>
      <c r="D27">
        <v>5.1074080000000004</v>
      </c>
      <c r="E27">
        <v>15.1529971</v>
      </c>
      <c r="F27">
        <v>79.955566039999994</v>
      </c>
      <c r="H27">
        <v>17</v>
      </c>
      <c r="I27" t="s">
        <v>10</v>
      </c>
      <c r="J27">
        <v>14.411177</v>
      </c>
      <c r="K27">
        <v>15.195102</v>
      </c>
      <c r="L27">
        <v>20.2786136</v>
      </c>
      <c r="M27">
        <v>91.618063300000003</v>
      </c>
      <c r="O27">
        <v>17</v>
      </c>
      <c r="P27" t="s">
        <v>10</v>
      </c>
      <c r="Q27">
        <v>14.411177</v>
      </c>
      <c r="R27">
        <v>15.195102</v>
      </c>
      <c r="S27">
        <v>20.2786136</v>
      </c>
      <c r="T27">
        <v>91.618063300000003</v>
      </c>
      <c r="V27">
        <v>17</v>
      </c>
      <c r="W27" t="s">
        <v>36</v>
      </c>
      <c r="X27">
        <v>18.388964000000001</v>
      </c>
      <c r="Y27">
        <v>14.940934</v>
      </c>
      <c r="Z27">
        <v>26.777428700000002</v>
      </c>
      <c r="AA27">
        <v>253.34361290000001</v>
      </c>
    </row>
    <row r="28" spans="1:27" x14ac:dyDescent="0.2">
      <c r="A28">
        <v>18</v>
      </c>
      <c r="B28" t="s">
        <v>23</v>
      </c>
      <c r="C28">
        <v>7.0063349600000002</v>
      </c>
      <c r="D28">
        <v>12.0669842</v>
      </c>
      <c r="E28">
        <v>13.663849300000001</v>
      </c>
      <c r="F28">
        <v>71.277539079999997</v>
      </c>
      <c r="H28">
        <v>18</v>
      </c>
      <c r="I28" t="s">
        <v>13</v>
      </c>
      <c r="J28">
        <v>13.050966000000001</v>
      </c>
      <c r="K28">
        <v>12.448966</v>
      </c>
      <c r="L28">
        <v>19.405662499999998</v>
      </c>
      <c r="M28">
        <v>82.391075099999995</v>
      </c>
      <c r="O28">
        <v>18</v>
      </c>
      <c r="P28" t="s">
        <v>13</v>
      </c>
      <c r="Q28">
        <v>13.050966000000001</v>
      </c>
      <c r="R28">
        <v>12.448966</v>
      </c>
      <c r="S28">
        <v>19.405662499999998</v>
      </c>
      <c r="T28">
        <v>82.391075099999995</v>
      </c>
      <c r="V28">
        <v>18</v>
      </c>
      <c r="W28" t="s">
        <v>8</v>
      </c>
      <c r="X28">
        <v>17.765723999999999</v>
      </c>
      <c r="Y28">
        <v>18.833978999999999</v>
      </c>
      <c r="Z28">
        <v>26.615456399999999</v>
      </c>
      <c r="AA28">
        <v>257.0513808</v>
      </c>
    </row>
    <row r="29" spans="1:27" x14ac:dyDescent="0.2">
      <c r="A29">
        <v>19</v>
      </c>
      <c r="B29" t="s">
        <v>15</v>
      </c>
      <c r="C29">
        <v>4.2687223200000002</v>
      </c>
      <c r="D29">
        <v>14.9593989</v>
      </c>
      <c r="E29">
        <v>13.464957800000001</v>
      </c>
      <c r="F29">
        <v>56.459004280000002</v>
      </c>
      <c r="H29">
        <v>19</v>
      </c>
      <c r="I29" t="s">
        <v>2</v>
      </c>
      <c r="J29">
        <v>17.297336999999999</v>
      </c>
      <c r="K29">
        <v>12.973159000000001</v>
      </c>
      <c r="L29">
        <v>18.880097599999999</v>
      </c>
      <c r="M29">
        <v>50.357443199999999</v>
      </c>
      <c r="O29">
        <v>19</v>
      </c>
      <c r="P29" t="s">
        <v>2</v>
      </c>
      <c r="Q29">
        <v>17.297336999999999</v>
      </c>
      <c r="R29">
        <v>12.973159000000001</v>
      </c>
      <c r="S29">
        <v>18.880097599999999</v>
      </c>
      <c r="T29">
        <v>50.357443199999999</v>
      </c>
      <c r="V29">
        <v>19</v>
      </c>
      <c r="W29" t="s">
        <v>24</v>
      </c>
      <c r="X29">
        <v>22.244596000000001</v>
      </c>
      <c r="Y29">
        <v>16.624089999999999</v>
      </c>
      <c r="Z29">
        <v>26.057175000000001</v>
      </c>
      <c r="AA29">
        <v>238.22879832000001</v>
      </c>
    </row>
    <row r="30" spans="1:27" x14ac:dyDescent="0.2">
      <c r="A30">
        <v>20</v>
      </c>
      <c r="B30" t="s">
        <v>35</v>
      </c>
      <c r="C30">
        <v>11.125291369999999</v>
      </c>
      <c r="D30">
        <v>6.1575386999999999</v>
      </c>
      <c r="E30">
        <v>13.2947978</v>
      </c>
      <c r="F30">
        <v>85.996949799999996</v>
      </c>
      <c r="H30">
        <v>20</v>
      </c>
      <c r="I30" t="s">
        <v>40</v>
      </c>
      <c r="J30">
        <v>9.8750599999999995</v>
      </c>
      <c r="K30">
        <v>14.386240000000001</v>
      </c>
      <c r="L30">
        <v>18.413770700000001</v>
      </c>
      <c r="M30">
        <v>81.751454100000004</v>
      </c>
      <c r="O30">
        <v>20</v>
      </c>
      <c r="P30" t="s">
        <v>40</v>
      </c>
      <c r="Q30">
        <v>9.8750599999999995</v>
      </c>
      <c r="R30">
        <v>14.386240000000001</v>
      </c>
      <c r="S30">
        <v>18.413770700000001</v>
      </c>
      <c r="T30">
        <v>81.751454100000004</v>
      </c>
      <c r="V30">
        <v>20</v>
      </c>
      <c r="W30" t="s">
        <v>31</v>
      </c>
      <c r="X30">
        <v>24.670556000000001</v>
      </c>
      <c r="Y30">
        <v>8.4470759999999991</v>
      </c>
      <c r="Z30">
        <v>24.900289999999998</v>
      </c>
      <c r="AA30">
        <v>273.11128353999999</v>
      </c>
    </row>
    <row r="31" spans="1:27" x14ac:dyDescent="0.2">
      <c r="A31">
        <v>21</v>
      </c>
      <c r="B31" t="s">
        <v>20</v>
      </c>
      <c r="C31">
        <v>10.24177091</v>
      </c>
      <c r="D31">
        <v>8.1151192999999999</v>
      </c>
      <c r="E31">
        <v>13.0926507</v>
      </c>
      <c r="F31">
        <v>71.876984129999997</v>
      </c>
      <c r="H31">
        <v>21</v>
      </c>
      <c r="I31" t="s">
        <v>23</v>
      </c>
      <c r="J31">
        <v>10.025471</v>
      </c>
      <c r="K31">
        <v>15.254572</v>
      </c>
      <c r="L31">
        <v>18.335979399999999</v>
      </c>
      <c r="M31">
        <v>68.105576200000002</v>
      </c>
      <c r="O31">
        <v>21</v>
      </c>
      <c r="P31" t="s">
        <v>23</v>
      </c>
      <c r="Q31">
        <v>10.025471</v>
      </c>
      <c r="R31">
        <v>15.254572</v>
      </c>
      <c r="S31">
        <v>18.335979399999999</v>
      </c>
      <c r="T31">
        <v>68.105576200000002</v>
      </c>
      <c r="V31">
        <v>21</v>
      </c>
      <c r="W31" t="s">
        <v>40</v>
      </c>
      <c r="X31">
        <v>22.569490999999999</v>
      </c>
      <c r="Y31">
        <v>8.2429190000000006</v>
      </c>
      <c r="Z31">
        <v>24.7588741</v>
      </c>
      <c r="AA31">
        <v>242.06698044000001</v>
      </c>
    </row>
    <row r="32" spans="1:27" x14ac:dyDescent="0.2">
      <c r="A32">
        <v>22</v>
      </c>
      <c r="B32" t="s">
        <v>26</v>
      </c>
      <c r="C32">
        <v>10.608291060000001</v>
      </c>
      <c r="D32">
        <v>4.9821762999999999</v>
      </c>
      <c r="E32">
        <v>12.3303154</v>
      </c>
      <c r="F32">
        <v>81.059195360000004</v>
      </c>
      <c r="H32">
        <v>22</v>
      </c>
      <c r="I32" t="s">
        <v>25</v>
      </c>
      <c r="J32">
        <v>7.3009820000000003</v>
      </c>
      <c r="K32">
        <v>16.54487</v>
      </c>
      <c r="L32">
        <v>18.1364482</v>
      </c>
      <c r="M32">
        <v>88.615115900000006</v>
      </c>
      <c r="O32">
        <v>22</v>
      </c>
      <c r="P32" t="s">
        <v>25</v>
      </c>
      <c r="Q32">
        <v>7.3009820000000003</v>
      </c>
      <c r="R32">
        <v>16.54487</v>
      </c>
      <c r="S32">
        <v>18.1364482</v>
      </c>
      <c r="T32">
        <v>88.615115900000006</v>
      </c>
      <c r="V32">
        <v>22</v>
      </c>
      <c r="W32" t="s">
        <v>28</v>
      </c>
      <c r="X32">
        <v>18.991962000000001</v>
      </c>
      <c r="Y32">
        <v>16.186510999999999</v>
      </c>
      <c r="Z32">
        <v>24.560915300000001</v>
      </c>
      <c r="AA32">
        <v>273.96044065000001</v>
      </c>
    </row>
    <row r="33" spans="1:27" x14ac:dyDescent="0.2">
      <c r="A33">
        <v>23</v>
      </c>
      <c r="B33" t="s">
        <v>29</v>
      </c>
      <c r="C33">
        <v>7.6111374200000004</v>
      </c>
      <c r="D33">
        <v>9.1050564999999999</v>
      </c>
      <c r="E33">
        <v>12.057269700000001</v>
      </c>
      <c r="F33">
        <v>88.035781510000007</v>
      </c>
      <c r="H33">
        <v>23</v>
      </c>
      <c r="I33" t="s">
        <v>33</v>
      </c>
      <c r="J33">
        <v>12.177851</v>
      </c>
      <c r="K33">
        <v>14.063243</v>
      </c>
      <c r="L33">
        <v>17.7908744</v>
      </c>
      <c r="M33">
        <v>67.125583000000006</v>
      </c>
      <c r="O33">
        <v>23</v>
      </c>
      <c r="P33" t="s">
        <v>33</v>
      </c>
      <c r="Q33">
        <v>12.177851</v>
      </c>
      <c r="R33">
        <v>14.063243</v>
      </c>
      <c r="S33">
        <v>17.7908744</v>
      </c>
      <c r="T33">
        <v>67.125583000000006</v>
      </c>
      <c r="V33">
        <v>23</v>
      </c>
      <c r="W33" t="s">
        <v>26</v>
      </c>
      <c r="X33">
        <v>17.696940000000001</v>
      </c>
      <c r="Y33">
        <v>12.97414</v>
      </c>
      <c r="Z33">
        <v>24.076320800000001</v>
      </c>
      <c r="AA33">
        <v>253.77418165</v>
      </c>
    </row>
    <row r="34" spans="1:27" x14ac:dyDescent="0.2">
      <c r="A34">
        <v>24</v>
      </c>
      <c r="B34" t="s">
        <v>27</v>
      </c>
      <c r="C34">
        <v>4.8852186399999997</v>
      </c>
      <c r="D34">
        <v>10.7927018</v>
      </c>
      <c r="E34">
        <v>11.918213400000001</v>
      </c>
      <c r="F34">
        <v>35.616253759999999</v>
      </c>
      <c r="H34">
        <v>24</v>
      </c>
      <c r="I34" t="s">
        <v>11</v>
      </c>
      <c r="J34">
        <v>12.071286000000001</v>
      </c>
      <c r="K34">
        <v>11.295311</v>
      </c>
      <c r="L34">
        <v>17.661538700000001</v>
      </c>
      <c r="M34">
        <v>91.778838899999997</v>
      </c>
      <c r="O34">
        <v>24</v>
      </c>
      <c r="P34" t="s">
        <v>11</v>
      </c>
      <c r="Q34">
        <v>12.071286000000001</v>
      </c>
      <c r="R34">
        <v>11.295311</v>
      </c>
      <c r="S34">
        <v>17.661538700000001</v>
      </c>
      <c r="T34">
        <v>91.778838899999997</v>
      </c>
      <c r="V34">
        <v>24</v>
      </c>
      <c r="W34" t="s">
        <v>39</v>
      </c>
      <c r="X34">
        <v>18.345036</v>
      </c>
      <c r="Y34">
        <v>15.993555000000001</v>
      </c>
      <c r="Z34">
        <v>23.5845029</v>
      </c>
      <c r="AA34">
        <v>272.83202126999998</v>
      </c>
    </row>
    <row r="35" spans="1:27" x14ac:dyDescent="0.2">
      <c r="A35">
        <v>25</v>
      </c>
      <c r="B35" t="s">
        <v>25</v>
      </c>
      <c r="C35">
        <v>11.79653558</v>
      </c>
      <c r="D35">
        <v>4.7001378999999996</v>
      </c>
      <c r="E35">
        <v>11.9053562</v>
      </c>
      <c r="F35">
        <v>81.548523560000007</v>
      </c>
      <c r="H35">
        <v>25</v>
      </c>
      <c r="I35" t="s">
        <v>39</v>
      </c>
      <c r="J35">
        <v>14.926088</v>
      </c>
      <c r="K35">
        <v>11.098599</v>
      </c>
      <c r="L35">
        <v>17.478469400000002</v>
      </c>
      <c r="M35">
        <v>89.389166000000003</v>
      </c>
      <c r="O35">
        <v>25</v>
      </c>
      <c r="P35" t="s">
        <v>39</v>
      </c>
      <c r="Q35">
        <v>14.926088</v>
      </c>
      <c r="R35">
        <v>11.098599</v>
      </c>
      <c r="S35">
        <v>17.478469400000002</v>
      </c>
      <c r="T35">
        <v>89.389166000000003</v>
      </c>
      <c r="V35">
        <v>25</v>
      </c>
      <c r="W35" t="s">
        <v>15</v>
      </c>
      <c r="X35">
        <v>11.164472999999999</v>
      </c>
      <c r="Y35">
        <v>19.338459</v>
      </c>
      <c r="Z35">
        <v>23.111115399999999</v>
      </c>
      <c r="AA35">
        <v>179.47959116999999</v>
      </c>
    </row>
    <row r="36" spans="1:27" x14ac:dyDescent="0.2">
      <c r="A36">
        <v>26</v>
      </c>
      <c r="B36" t="s">
        <v>32</v>
      </c>
      <c r="C36">
        <v>6.1724129000000003</v>
      </c>
      <c r="D36">
        <v>9.4022425999999992</v>
      </c>
      <c r="E36">
        <v>11.843751299999999</v>
      </c>
      <c r="F36">
        <v>71.488681310000004</v>
      </c>
      <c r="H36">
        <v>26</v>
      </c>
      <c r="I36" t="s">
        <v>46</v>
      </c>
      <c r="J36">
        <v>10.442435</v>
      </c>
      <c r="K36">
        <v>14.220102000000001</v>
      </c>
      <c r="L36">
        <v>17.399862599999999</v>
      </c>
      <c r="M36">
        <v>91.630706000000004</v>
      </c>
      <c r="O36">
        <v>26</v>
      </c>
      <c r="P36" t="s">
        <v>46</v>
      </c>
      <c r="Q36">
        <v>10.442435</v>
      </c>
      <c r="R36">
        <v>14.220102000000001</v>
      </c>
      <c r="S36">
        <v>17.399862599999999</v>
      </c>
      <c r="T36">
        <v>91.630706000000004</v>
      </c>
      <c r="V36">
        <v>26</v>
      </c>
      <c r="W36" t="s">
        <v>16</v>
      </c>
      <c r="X36">
        <v>16.096641999999999</v>
      </c>
      <c r="Y36">
        <v>13.743937000000001</v>
      </c>
      <c r="Z36">
        <v>22.751345400000002</v>
      </c>
      <c r="AA36">
        <v>180.33159961999999</v>
      </c>
    </row>
    <row r="37" spans="1:27" x14ac:dyDescent="0.2">
      <c r="A37">
        <v>27</v>
      </c>
      <c r="B37" t="s">
        <v>28</v>
      </c>
      <c r="C37">
        <v>10.61377076</v>
      </c>
      <c r="D37">
        <v>6.8808498</v>
      </c>
      <c r="E37">
        <v>11.8427905</v>
      </c>
      <c r="F37">
        <v>83.454265860000007</v>
      </c>
      <c r="H37">
        <v>27</v>
      </c>
      <c r="I37" t="s">
        <v>17</v>
      </c>
      <c r="J37">
        <v>13.632879000000001</v>
      </c>
      <c r="K37">
        <v>13.010482</v>
      </c>
      <c r="L37">
        <v>17.2523041</v>
      </c>
      <c r="M37">
        <v>93.197550500000006</v>
      </c>
      <c r="O37">
        <v>27</v>
      </c>
      <c r="P37" t="s">
        <v>17</v>
      </c>
      <c r="Q37">
        <v>13.632879000000001</v>
      </c>
      <c r="R37">
        <v>13.010482</v>
      </c>
      <c r="S37">
        <v>17.2523041</v>
      </c>
      <c r="T37">
        <v>93.197550500000006</v>
      </c>
      <c r="V37">
        <v>27</v>
      </c>
      <c r="W37" t="s">
        <v>19</v>
      </c>
      <c r="X37">
        <v>12.165854</v>
      </c>
      <c r="Y37">
        <v>23.637526000000001</v>
      </c>
      <c r="Z37">
        <v>22.176360500000001</v>
      </c>
      <c r="AA37">
        <v>153.6570931</v>
      </c>
    </row>
    <row r="38" spans="1:27" x14ac:dyDescent="0.2">
      <c r="A38">
        <v>28</v>
      </c>
      <c r="B38" t="s">
        <v>19</v>
      </c>
      <c r="C38">
        <v>4.0232713100000002</v>
      </c>
      <c r="D38">
        <v>12.939062699999999</v>
      </c>
      <c r="E38">
        <v>11.743551</v>
      </c>
      <c r="F38">
        <v>39.805580120000002</v>
      </c>
      <c r="H38">
        <v>28</v>
      </c>
      <c r="I38" t="s">
        <v>29</v>
      </c>
      <c r="J38">
        <v>9.5903899999999993</v>
      </c>
      <c r="K38">
        <v>15.157928999999999</v>
      </c>
      <c r="L38">
        <v>16.541282200000001</v>
      </c>
      <c r="M38">
        <v>94.143550200000007</v>
      </c>
      <c r="O38">
        <v>28</v>
      </c>
      <c r="P38" t="s">
        <v>29</v>
      </c>
      <c r="Q38">
        <v>9.5903899999999993</v>
      </c>
      <c r="R38">
        <v>15.157928999999999</v>
      </c>
      <c r="S38">
        <v>16.541282200000001</v>
      </c>
      <c r="T38">
        <v>94.143550200000007</v>
      </c>
      <c r="V38">
        <v>28</v>
      </c>
      <c r="W38" t="s">
        <v>32</v>
      </c>
      <c r="X38">
        <v>16.598991000000002</v>
      </c>
      <c r="Y38">
        <v>13.207141999999999</v>
      </c>
      <c r="Z38">
        <v>22.060246599999999</v>
      </c>
      <c r="AA38">
        <v>240.44843925000001</v>
      </c>
    </row>
    <row r="39" spans="1:27" x14ac:dyDescent="0.2">
      <c r="A39">
        <v>29</v>
      </c>
      <c r="B39" t="s">
        <v>21</v>
      </c>
      <c r="C39">
        <v>6.5645484700000001</v>
      </c>
      <c r="D39">
        <v>9.3130814999999991</v>
      </c>
      <c r="E39">
        <v>11.710312399999999</v>
      </c>
      <c r="F39">
        <v>82.452865560000006</v>
      </c>
      <c r="H39">
        <v>29</v>
      </c>
      <c r="I39" t="s">
        <v>26</v>
      </c>
      <c r="J39">
        <v>10.151892999999999</v>
      </c>
      <c r="K39">
        <v>9.4564909999999998</v>
      </c>
      <c r="L39">
        <v>16.381318199999999</v>
      </c>
      <c r="M39">
        <v>81.030011900000005</v>
      </c>
      <c r="O39">
        <v>29</v>
      </c>
      <c r="P39" t="s">
        <v>26</v>
      </c>
      <c r="Q39">
        <v>10.151892999999999</v>
      </c>
      <c r="R39">
        <v>9.4564909999999998</v>
      </c>
      <c r="S39">
        <v>16.381318199999999</v>
      </c>
      <c r="T39">
        <v>81.030011900000005</v>
      </c>
      <c r="V39">
        <v>29</v>
      </c>
      <c r="W39" t="s">
        <v>27</v>
      </c>
      <c r="X39">
        <v>14.664771999999999</v>
      </c>
      <c r="Y39">
        <v>16.624414000000002</v>
      </c>
      <c r="Z39">
        <v>21.633677299999999</v>
      </c>
      <c r="AA39">
        <v>127.29893951</v>
      </c>
    </row>
    <row r="40" spans="1:27" x14ac:dyDescent="0.2">
      <c r="A40">
        <v>30</v>
      </c>
      <c r="B40" t="s">
        <v>22</v>
      </c>
      <c r="C40">
        <v>9.76885184</v>
      </c>
      <c r="D40">
        <v>5.3909067999999998</v>
      </c>
      <c r="E40">
        <v>11.1791806</v>
      </c>
      <c r="F40">
        <v>57.363370250000003</v>
      </c>
      <c r="H40">
        <v>30</v>
      </c>
      <c r="I40" t="s">
        <v>35</v>
      </c>
      <c r="J40">
        <v>9.6653199999999995</v>
      </c>
      <c r="K40">
        <v>13.230587999999999</v>
      </c>
      <c r="L40">
        <v>16.2174877</v>
      </c>
      <c r="M40">
        <v>90.548292399999994</v>
      </c>
      <c r="O40">
        <v>30</v>
      </c>
      <c r="P40" t="s">
        <v>35</v>
      </c>
      <c r="Q40">
        <v>9.6653199999999995</v>
      </c>
      <c r="R40">
        <v>13.230587999999999</v>
      </c>
      <c r="S40">
        <v>16.2174877</v>
      </c>
      <c r="T40">
        <v>90.548292399999994</v>
      </c>
      <c r="V40">
        <v>30</v>
      </c>
      <c r="W40" t="s">
        <v>25</v>
      </c>
      <c r="X40">
        <v>16.849371000000001</v>
      </c>
      <c r="Y40">
        <v>12.343502000000001</v>
      </c>
      <c r="Z40">
        <v>21.3727336</v>
      </c>
      <c r="AA40">
        <v>267.16928258000002</v>
      </c>
    </row>
    <row r="41" spans="1:27" x14ac:dyDescent="0.2">
      <c r="A41">
        <v>31</v>
      </c>
      <c r="B41" t="s">
        <v>24</v>
      </c>
      <c r="C41">
        <v>11.36212776</v>
      </c>
      <c r="D41">
        <v>4.3522711999999997</v>
      </c>
      <c r="E41">
        <v>11.0824657</v>
      </c>
      <c r="F41">
        <v>65.595284289999995</v>
      </c>
      <c r="H41">
        <v>31</v>
      </c>
      <c r="I41" t="s">
        <v>16</v>
      </c>
      <c r="J41">
        <v>9.6946539999999999</v>
      </c>
      <c r="K41">
        <v>11.253565</v>
      </c>
      <c r="L41">
        <v>15.6500825</v>
      </c>
      <c r="M41">
        <v>52.571338400000002</v>
      </c>
      <c r="O41">
        <v>31</v>
      </c>
      <c r="P41" t="s">
        <v>16</v>
      </c>
      <c r="Q41">
        <v>9.6946539999999999</v>
      </c>
      <c r="R41">
        <v>11.253565</v>
      </c>
      <c r="S41">
        <v>15.6500825</v>
      </c>
      <c r="T41">
        <v>52.571338400000002</v>
      </c>
      <c r="V41">
        <v>31</v>
      </c>
      <c r="W41" t="s">
        <v>20</v>
      </c>
      <c r="X41">
        <v>15.716628999999999</v>
      </c>
      <c r="Y41">
        <v>14.013323</v>
      </c>
      <c r="Z41">
        <v>20.903594200000001</v>
      </c>
      <c r="AA41">
        <v>186.78555137000001</v>
      </c>
    </row>
    <row r="42" spans="1:27" x14ac:dyDescent="0.2">
      <c r="A42">
        <v>32</v>
      </c>
      <c r="B42" t="s">
        <v>44</v>
      </c>
      <c r="C42">
        <v>6.3231599799999998</v>
      </c>
      <c r="D42">
        <v>6.3626285999999999</v>
      </c>
      <c r="E42">
        <v>9.9735590999999992</v>
      </c>
      <c r="F42">
        <v>38.869068499999997</v>
      </c>
      <c r="H42">
        <v>32</v>
      </c>
      <c r="I42" t="s">
        <v>30</v>
      </c>
      <c r="J42">
        <v>7.5573170000000003</v>
      </c>
      <c r="K42">
        <v>13.279463</v>
      </c>
      <c r="L42">
        <v>15.592631600000001</v>
      </c>
      <c r="M42">
        <v>81.525204400000007</v>
      </c>
      <c r="O42">
        <v>32</v>
      </c>
      <c r="P42" t="s">
        <v>30</v>
      </c>
      <c r="Q42">
        <v>7.5573170000000003</v>
      </c>
      <c r="R42">
        <v>13.279463</v>
      </c>
      <c r="S42">
        <v>15.592631600000001</v>
      </c>
      <c r="T42">
        <v>81.525204400000007</v>
      </c>
      <c r="V42">
        <v>32</v>
      </c>
      <c r="W42" t="s">
        <v>35</v>
      </c>
      <c r="X42">
        <v>18.806697</v>
      </c>
      <c r="Y42">
        <v>9.9827919999999999</v>
      </c>
      <c r="Z42">
        <v>20.672830600000001</v>
      </c>
      <c r="AA42">
        <v>263.51619978999997</v>
      </c>
    </row>
    <row r="43" spans="1:27" x14ac:dyDescent="0.2">
      <c r="A43">
        <v>33</v>
      </c>
      <c r="B43" t="s">
        <v>36</v>
      </c>
      <c r="C43">
        <v>2.9327266500000002</v>
      </c>
      <c r="D43">
        <v>10.4544921</v>
      </c>
      <c r="E43">
        <v>9.7616373999999997</v>
      </c>
      <c r="F43">
        <v>75.601667989999996</v>
      </c>
      <c r="H43">
        <v>33</v>
      </c>
      <c r="I43" t="s">
        <v>47</v>
      </c>
      <c r="J43">
        <v>9.5312789999999996</v>
      </c>
      <c r="K43">
        <v>14.704262999999999</v>
      </c>
      <c r="L43">
        <v>15.5428236</v>
      </c>
      <c r="M43">
        <v>48.208776200000003</v>
      </c>
      <c r="O43">
        <v>33</v>
      </c>
      <c r="P43" t="s">
        <v>47</v>
      </c>
      <c r="Q43">
        <v>9.5312789999999996</v>
      </c>
      <c r="R43">
        <v>14.704262999999999</v>
      </c>
      <c r="S43">
        <v>15.5428236</v>
      </c>
      <c r="T43">
        <v>48.208776200000003</v>
      </c>
      <c r="V43">
        <v>33</v>
      </c>
      <c r="W43" t="s">
        <v>44</v>
      </c>
      <c r="X43">
        <v>14.597780999999999</v>
      </c>
      <c r="Y43">
        <v>11.841144</v>
      </c>
      <c r="Z43">
        <v>20.425664600000001</v>
      </c>
      <c r="AA43">
        <v>140.10589196000001</v>
      </c>
    </row>
    <row r="44" spans="1:27" x14ac:dyDescent="0.2">
      <c r="A44">
        <v>34</v>
      </c>
      <c r="B44" t="s">
        <v>31</v>
      </c>
      <c r="C44">
        <v>8.9141153899999992</v>
      </c>
      <c r="D44">
        <v>3.8530568000000001</v>
      </c>
      <c r="E44">
        <v>9.5492750999999991</v>
      </c>
      <c r="F44">
        <v>81.039041729999994</v>
      </c>
      <c r="H44">
        <v>34</v>
      </c>
      <c r="I44" t="s">
        <v>27</v>
      </c>
      <c r="J44">
        <v>5.7551240000000004</v>
      </c>
      <c r="K44">
        <v>14.622771999999999</v>
      </c>
      <c r="L44">
        <v>15.1260642</v>
      </c>
      <c r="M44">
        <v>32.412491600000003</v>
      </c>
      <c r="O44">
        <v>34</v>
      </c>
      <c r="P44" t="s">
        <v>27</v>
      </c>
      <c r="Q44">
        <v>5.7551240000000004</v>
      </c>
      <c r="R44">
        <v>14.622771999999999</v>
      </c>
      <c r="S44">
        <v>15.1260642</v>
      </c>
      <c r="T44">
        <v>32.412491600000003</v>
      </c>
      <c r="V44">
        <v>34</v>
      </c>
      <c r="W44" t="s">
        <v>34</v>
      </c>
      <c r="X44">
        <v>17.385161</v>
      </c>
      <c r="Y44">
        <v>11.250455000000001</v>
      </c>
      <c r="Z44">
        <v>20.0259763</v>
      </c>
      <c r="AA44">
        <v>176.56289196</v>
      </c>
    </row>
    <row r="45" spans="1:27" x14ac:dyDescent="0.2">
      <c r="A45">
        <v>35</v>
      </c>
      <c r="B45" t="s">
        <v>30</v>
      </c>
      <c r="C45">
        <v>10.132108260000001</v>
      </c>
      <c r="D45">
        <v>0.98790909999999998</v>
      </c>
      <c r="E45">
        <v>9.4805607999999992</v>
      </c>
      <c r="F45">
        <v>73.937516369999997</v>
      </c>
      <c r="H45">
        <v>35</v>
      </c>
      <c r="I45" t="s">
        <v>19</v>
      </c>
      <c r="J45">
        <v>7.8002469999999997</v>
      </c>
      <c r="K45">
        <v>13.051117</v>
      </c>
      <c r="L45">
        <v>14.878779099999999</v>
      </c>
      <c r="M45">
        <v>40.822884899999998</v>
      </c>
      <c r="O45">
        <v>35</v>
      </c>
      <c r="P45" t="s">
        <v>19</v>
      </c>
      <c r="Q45">
        <v>7.8002469999999997</v>
      </c>
      <c r="R45">
        <v>13.051117</v>
      </c>
      <c r="S45">
        <v>14.878779099999999</v>
      </c>
      <c r="T45">
        <v>40.822884899999998</v>
      </c>
      <c r="V45">
        <v>35</v>
      </c>
      <c r="W45" t="s">
        <v>23</v>
      </c>
      <c r="X45">
        <v>11.194907000000001</v>
      </c>
      <c r="Y45">
        <v>18.344878999999999</v>
      </c>
      <c r="Z45">
        <v>19.854051900000002</v>
      </c>
      <c r="AA45">
        <v>212.61868023</v>
      </c>
    </row>
    <row r="46" spans="1:27" x14ac:dyDescent="0.2">
      <c r="A46">
        <v>36</v>
      </c>
      <c r="B46" t="s">
        <v>38</v>
      </c>
      <c r="C46">
        <v>4.0119728700000001</v>
      </c>
      <c r="D46">
        <v>8.9445017999999994</v>
      </c>
      <c r="E46">
        <v>9.3456206999999996</v>
      </c>
      <c r="F46">
        <v>22.462163289999999</v>
      </c>
      <c r="H46">
        <v>36</v>
      </c>
      <c r="I46" t="s">
        <v>32</v>
      </c>
      <c r="J46">
        <v>13.424628999999999</v>
      </c>
      <c r="K46">
        <v>6.758699</v>
      </c>
      <c r="L46">
        <v>14.874174399999999</v>
      </c>
      <c r="M46">
        <v>81.095967700000003</v>
      </c>
      <c r="O46">
        <v>36</v>
      </c>
      <c r="P46" t="s">
        <v>32</v>
      </c>
      <c r="Q46">
        <v>13.424628999999999</v>
      </c>
      <c r="R46">
        <v>6.758699</v>
      </c>
      <c r="S46">
        <v>14.874174399999999</v>
      </c>
      <c r="T46">
        <v>81.095967700000003</v>
      </c>
      <c r="V46">
        <v>36</v>
      </c>
      <c r="W46" t="s">
        <v>47</v>
      </c>
      <c r="X46">
        <v>13.154228</v>
      </c>
      <c r="Y46">
        <v>16.439924000000001</v>
      </c>
      <c r="Z46">
        <v>19.779394700000001</v>
      </c>
      <c r="AA46">
        <v>155.02897888999999</v>
      </c>
    </row>
    <row r="47" spans="1:27" x14ac:dyDescent="0.2">
      <c r="A47">
        <v>37</v>
      </c>
      <c r="B47" t="s">
        <v>54</v>
      </c>
      <c r="C47">
        <v>5.7753274100000001</v>
      </c>
      <c r="D47">
        <v>6.3507521999999996</v>
      </c>
      <c r="E47">
        <v>9.2520626999999998</v>
      </c>
      <c r="F47">
        <v>22.487991829999999</v>
      </c>
      <c r="H47">
        <v>37</v>
      </c>
      <c r="I47" t="s">
        <v>44</v>
      </c>
      <c r="J47">
        <v>9.941656</v>
      </c>
      <c r="K47">
        <v>13.202911</v>
      </c>
      <c r="L47">
        <v>14.687569</v>
      </c>
      <c r="M47">
        <v>41.872650999999998</v>
      </c>
      <c r="O47">
        <v>37</v>
      </c>
      <c r="P47" t="s">
        <v>44</v>
      </c>
      <c r="Q47">
        <v>9.941656</v>
      </c>
      <c r="R47">
        <v>13.202911</v>
      </c>
      <c r="S47">
        <v>14.687569</v>
      </c>
      <c r="T47">
        <v>41.872650999999998</v>
      </c>
      <c r="V47">
        <v>37</v>
      </c>
      <c r="W47" t="s">
        <v>33</v>
      </c>
      <c r="X47">
        <v>12.011063</v>
      </c>
      <c r="Y47">
        <v>14.309518000000001</v>
      </c>
      <c r="Z47">
        <v>18.794318799999999</v>
      </c>
      <c r="AA47">
        <v>189.73208894999999</v>
      </c>
    </row>
    <row r="48" spans="1:27" x14ac:dyDescent="0.2">
      <c r="A48">
        <v>38</v>
      </c>
      <c r="B48" t="s">
        <v>47</v>
      </c>
      <c r="C48">
        <v>5.5605661700000004</v>
      </c>
      <c r="D48">
        <v>6.6238845</v>
      </c>
      <c r="E48">
        <v>8.9551856999999995</v>
      </c>
      <c r="F48">
        <v>41.521054839999998</v>
      </c>
      <c r="H48">
        <v>38</v>
      </c>
      <c r="I48" t="s">
        <v>20</v>
      </c>
      <c r="J48">
        <v>6.8384239999999998</v>
      </c>
      <c r="K48">
        <v>13.061116999999999</v>
      </c>
      <c r="L48">
        <v>14.1197608</v>
      </c>
      <c r="M48">
        <v>54.158287299999998</v>
      </c>
      <c r="O48">
        <v>38</v>
      </c>
      <c r="P48" t="s">
        <v>20</v>
      </c>
      <c r="Q48">
        <v>6.8384239999999998</v>
      </c>
      <c r="R48">
        <v>13.061116999999999</v>
      </c>
      <c r="S48">
        <v>14.1197608</v>
      </c>
      <c r="T48">
        <v>54.158287299999998</v>
      </c>
      <c r="V48">
        <v>38</v>
      </c>
      <c r="W48" t="s">
        <v>22</v>
      </c>
      <c r="X48">
        <v>15.733881</v>
      </c>
      <c r="Y48">
        <v>11.805603</v>
      </c>
      <c r="Z48">
        <v>18.139977399999999</v>
      </c>
      <c r="AA48">
        <v>157.29714858</v>
      </c>
    </row>
    <row r="49" spans="1:27" x14ac:dyDescent="0.2">
      <c r="A49">
        <v>39</v>
      </c>
      <c r="B49" t="s">
        <v>45</v>
      </c>
      <c r="C49">
        <v>0.79948960000000002</v>
      </c>
      <c r="D49">
        <v>9.8966232000000005</v>
      </c>
      <c r="E49">
        <v>8.9525778000000003</v>
      </c>
      <c r="F49">
        <v>17.68393103</v>
      </c>
      <c r="H49">
        <v>39</v>
      </c>
      <c r="I49" t="s">
        <v>53</v>
      </c>
      <c r="J49">
        <v>9.2898630000000004</v>
      </c>
      <c r="K49">
        <v>9.8921170000000007</v>
      </c>
      <c r="L49">
        <v>13.824631500000001</v>
      </c>
      <c r="M49">
        <v>37.6031251</v>
      </c>
      <c r="O49">
        <v>39</v>
      </c>
      <c r="P49" t="s">
        <v>53</v>
      </c>
      <c r="Q49">
        <v>9.2898630000000004</v>
      </c>
      <c r="R49">
        <v>9.8921170000000007</v>
      </c>
      <c r="S49">
        <v>13.824631500000001</v>
      </c>
      <c r="T49">
        <v>37.6031251</v>
      </c>
      <c r="V49">
        <v>39</v>
      </c>
      <c r="W49" t="s">
        <v>29</v>
      </c>
      <c r="X49">
        <v>9.7908840000000001</v>
      </c>
      <c r="Y49">
        <v>14.120922</v>
      </c>
      <c r="Z49">
        <v>17.254572700000001</v>
      </c>
      <c r="AA49">
        <v>271.19080809000002</v>
      </c>
    </row>
    <row r="50" spans="1:27" x14ac:dyDescent="0.2">
      <c r="A50">
        <v>40</v>
      </c>
      <c r="B50" t="s">
        <v>49</v>
      </c>
      <c r="C50">
        <v>6.1234633299999999</v>
      </c>
      <c r="D50">
        <v>6.8110505999999997</v>
      </c>
      <c r="E50">
        <v>8.6106954000000009</v>
      </c>
      <c r="F50">
        <v>9.0351777000000002</v>
      </c>
      <c r="H50">
        <v>40</v>
      </c>
      <c r="I50" t="s">
        <v>36</v>
      </c>
      <c r="J50">
        <v>10.258760000000001</v>
      </c>
      <c r="K50">
        <v>8.0358280000000004</v>
      </c>
      <c r="L50">
        <v>13.6231524</v>
      </c>
      <c r="M50">
        <v>82.304800900000004</v>
      </c>
      <c r="O50">
        <v>40</v>
      </c>
      <c r="P50" t="s">
        <v>36</v>
      </c>
      <c r="Q50">
        <v>10.258760000000001</v>
      </c>
      <c r="R50">
        <v>8.0358280000000004</v>
      </c>
      <c r="S50">
        <v>13.6231524</v>
      </c>
      <c r="T50">
        <v>82.304800900000004</v>
      </c>
      <c r="V50">
        <v>40</v>
      </c>
      <c r="W50" t="s">
        <v>52</v>
      </c>
      <c r="X50">
        <v>12.694933000000001</v>
      </c>
      <c r="Y50">
        <v>11.669560000000001</v>
      </c>
      <c r="Z50">
        <v>17.2410122</v>
      </c>
      <c r="AA50">
        <v>176.38196726999999</v>
      </c>
    </row>
    <row r="51" spans="1:27" x14ac:dyDescent="0.2">
      <c r="A51">
        <v>41</v>
      </c>
      <c r="B51" t="s">
        <v>42</v>
      </c>
      <c r="C51">
        <v>4.4702012099999999</v>
      </c>
      <c r="D51">
        <v>7.1574989999999996</v>
      </c>
      <c r="E51">
        <v>8.4434304000000004</v>
      </c>
      <c r="F51">
        <v>23.221078970000001</v>
      </c>
      <c r="H51">
        <v>41</v>
      </c>
      <c r="I51" t="s">
        <v>22</v>
      </c>
      <c r="J51">
        <v>9.9561200000000003</v>
      </c>
      <c r="K51">
        <v>9.4068950000000005</v>
      </c>
      <c r="L51">
        <v>13.2188344</v>
      </c>
      <c r="M51">
        <v>44.769094099999997</v>
      </c>
      <c r="O51">
        <v>41</v>
      </c>
      <c r="P51" t="s">
        <v>22</v>
      </c>
      <c r="Q51">
        <v>9.9561200000000003</v>
      </c>
      <c r="R51">
        <v>9.4068950000000005</v>
      </c>
      <c r="S51">
        <v>13.2188344</v>
      </c>
      <c r="T51">
        <v>44.769094099999997</v>
      </c>
      <c r="V51">
        <v>41</v>
      </c>
      <c r="W51" t="s">
        <v>53</v>
      </c>
      <c r="X51">
        <v>19.013983</v>
      </c>
      <c r="Y51">
        <v>3.6036069999999998</v>
      </c>
      <c r="Z51">
        <v>16.693992000000001</v>
      </c>
      <c r="AA51">
        <v>102.40045227</v>
      </c>
    </row>
    <row r="52" spans="1:27" x14ac:dyDescent="0.2">
      <c r="A52">
        <v>42</v>
      </c>
      <c r="B52" t="s">
        <v>43</v>
      </c>
      <c r="C52">
        <v>2.7672676699999998</v>
      </c>
      <c r="D52">
        <v>9.0309232999999995</v>
      </c>
      <c r="E52">
        <v>8.3458903000000007</v>
      </c>
      <c r="F52">
        <v>21.44994033</v>
      </c>
      <c r="H52">
        <v>42</v>
      </c>
      <c r="I52" t="s">
        <v>37</v>
      </c>
      <c r="J52">
        <v>10.398308999999999</v>
      </c>
      <c r="K52">
        <v>9.371359</v>
      </c>
      <c r="L52">
        <v>13.1937449</v>
      </c>
      <c r="M52">
        <v>33.065875499999997</v>
      </c>
      <c r="O52">
        <v>42</v>
      </c>
      <c r="P52" t="s">
        <v>37</v>
      </c>
      <c r="Q52">
        <v>10.398308999999999</v>
      </c>
      <c r="R52">
        <v>9.371359</v>
      </c>
      <c r="S52">
        <v>13.1937449</v>
      </c>
      <c r="T52">
        <v>33.065875499999997</v>
      </c>
      <c r="V52">
        <v>42</v>
      </c>
      <c r="W52" t="s">
        <v>48</v>
      </c>
      <c r="X52">
        <v>8.3215970000000006</v>
      </c>
      <c r="Y52">
        <v>14.257540000000001</v>
      </c>
      <c r="Z52">
        <v>15.7619586</v>
      </c>
      <c r="AA52">
        <v>101.78185426</v>
      </c>
    </row>
    <row r="53" spans="1:27" x14ac:dyDescent="0.2">
      <c r="A53">
        <v>43</v>
      </c>
      <c r="B53" t="s">
        <v>33</v>
      </c>
      <c r="C53">
        <v>5.5555010100000004</v>
      </c>
      <c r="D53">
        <v>6.3089968000000001</v>
      </c>
      <c r="E53">
        <v>8.3231327999999998</v>
      </c>
      <c r="F53">
        <v>53.985350580000002</v>
      </c>
      <c r="H53">
        <v>43</v>
      </c>
      <c r="I53" t="s">
        <v>34</v>
      </c>
      <c r="J53">
        <v>10.804264999999999</v>
      </c>
      <c r="K53">
        <v>7.8567960000000001</v>
      </c>
      <c r="L53">
        <v>13.1652074</v>
      </c>
      <c r="M53">
        <v>52.209190800000002</v>
      </c>
      <c r="O53">
        <v>43</v>
      </c>
      <c r="P53" t="s">
        <v>34</v>
      </c>
      <c r="Q53">
        <v>10.804264999999999</v>
      </c>
      <c r="R53">
        <v>7.8567960000000001</v>
      </c>
      <c r="S53">
        <v>13.1652074</v>
      </c>
      <c r="T53">
        <v>52.209190800000002</v>
      </c>
      <c r="V53">
        <v>43</v>
      </c>
      <c r="W53" t="s">
        <v>38</v>
      </c>
      <c r="X53">
        <v>5.8442410000000002</v>
      </c>
      <c r="Y53">
        <v>13.807675</v>
      </c>
      <c r="Z53">
        <v>14.818051199999999</v>
      </c>
      <c r="AA53">
        <v>75.514497489999997</v>
      </c>
    </row>
    <row r="54" spans="1:27" x14ac:dyDescent="0.2">
      <c r="A54">
        <v>44</v>
      </c>
      <c r="B54" t="s">
        <v>40</v>
      </c>
      <c r="C54">
        <v>7.41386418</v>
      </c>
      <c r="D54">
        <v>4.0034099999999997</v>
      </c>
      <c r="E54">
        <v>8.0008858000000007</v>
      </c>
      <c r="F54">
        <v>70.867195330000001</v>
      </c>
      <c r="H54">
        <v>44</v>
      </c>
      <c r="I54" t="s">
        <v>52</v>
      </c>
      <c r="J54">
        <v>9.3868910000000003</v>
      </c>
      <c r="K54">
        <v>8.0018740000000008</v>
      </c>
      <c r="L54">
        <v>12.6042781</v>
      </c>
      <c r="M54">
        <v>52.940862000000003</v>
      </c>
      <c r="O54">
        <v>44</v>
      </c>
      <c r="P54" t="s">
        <v>52</v>
      </c>
      <c r="Q54">
        <v>9.3868910000000003</v>
      </c>
      <c r="R54">
        <v>8.0018740000000008</v>
      </c>
      <c r="S54">
        <v>12.6042781</v>
      </c>
      <c r="T54">
        <v>52.940862000000003</v>
      </c>
      <c r="V54">
        <v>44</v>
      </c>
      <c r="W54" t="s">
        <v>42</v>
      </c>
      <c r="X54">
        <v>2.961767</v>
      </c>
      <c r="Y54">
        <v>15.715607</v>
      </c>
      <c r="Z54">
        <v>14.7146831</v>
      </c>
      <c r="AA54">
        <v>70.313437519999994</v>
      </c>
    </row>
    <row r="55" spans="1:27" x14ac:dyDescent="0.2">
      <c r="A55">
        <v>45</v>
      </c>
      <c r="B55" t="s">
        <v>34</v>
      </c>
      <c r="C55">
        <v>7.5606907699999999</v>
      </c>
      <c r="D55">
        <v>3.7497924</v>
      </c>
      <c r="E55">
        <v>7.8952043999999999</v>
      </c>
      <c r="F55">
        <v>50.674110450000001</v>
      </c>
      <c r="H55">
        <v>45</v>
      </c>
      <c r="I55" t="s">
        <v>51</v>
      </c>
      <c r="J55">
        <v>9.0809149999999992</v>
      </c>
      <c r="K55">
        <v>8.4610590000000006</v>
      </c>
      <c r="L55">
        <v>11.9004321</v>
      </c>
      <c r="M55">
        <v>20.0165124</v>
      </c>
      <c r="O55">
        <v>45</v>
      </c>
      <c r="P55" t="s">
        <v>51</v>
      </c>
      <c r="Q55">
        <v>9.0809149999999992</v>
      </c>
      <c r="R55">
        <v>8.4610590000000006</v>
      </c>
      <c r="S55">
        <v>11.9004321</v>
      </c>
      <c r="T55">
        <v>20.0165124</v>
      </c>
      <c r="V55">
        <v>45</v>
      </c>
      <c r="W55" t="s">
        <v>46</v>
      </c>
      <c r="X55">
        <v>9.3768550000000008</v>
      </c>
      <c r="Y55">
        <v>10.890917</v>
      </c>
      <c r="Z55">
        <v>14.424317800000001</v>
      </c>
      <c r="AA55">
        <v>252.38787904</v>
      </c>
    </row>
    <row r="56" spans="1:27" x14ac:dyDescent="0.2">
      <c r="A56">
        <v>46</v>
      </c>
      <c r="B56" t="s">
        <v>46</v>
      </c>
      <c r="C56">
        <v>4.7701592499999999</v>
      </c>
      <c r="D56">
        <v>5.8781774000000002</v>
      </c>
      <c r="E56">
        <v>7.8703589999999997</v>
      </c>
      <c r="F56">
        <v>78.588398979999994</v>
      </c>
      <c r="H56">
        <v>46</v>
      </c>
      <c r="I56" t="s">
        <v>54</v>
      </c>
      <c r="J56">
        <v>8.6079699999999999</v>
      </c>
      <c r="K56">
        <v>7.2210910000000004</v>
      </c>
      <c r="L56">
        <v>11.2760289</v>
      </c>
      <c r="M56">
        <v>22.090177000000001</v>
      </c>
      <c r="O56">
        <v>46</v>
      </c>
      <c r="P56" t="s">
        <v>54</v>
      </c>
      <c r="Q56">
        <v>8.6079699999999999</v>
      </c>
      <c r="R56">
        <v>7.2210910000000004</v>
      </c>
      <c r="S56">
        <v>11.2760289</v>
      </c>
      <c r="T56">
        <v>22.090177000000001</v>
      </c>
      <c r="V56">
        <v>46</v>
      </c>
      <c r="W56" t="s">
        <v>37</v>
      </c>
      <c r="X56">
        <v>13.763095</v>
      </c>
      <c r="Y56">
        <v>6.2173439999999998</v>
      </c>
      <c r="Z56">
        <v>14.285708</v>
      </c>
      <c r="AA56">
        <v>111.83955622000001</v>
      </c>
    </row>
    <row r="57" spans="1:27" x14ac:dyDescent="0.2">
      <c r="A57">
        <v>47</v>
      </c>
      <c r="B57" t="s">
        <v>50</v>
      </c>
      <c r="C57">
        <v>2.7822073500000002</v>
      </c>
      <c r="D57">
        <v>7.3770604999999998</v>
      </c>
      <c r="E57">
        <v>7.4671120999999996</v>
      </c>
      <c r="F57">
        <v>16.799316999999999</v>
      </c>
      <c r="H57">
        <v>47</v>
      </c>
      <c r="I57" t="s">
        <v>48</v>
      </c>
      <c r="J57">
        <v>4.474164</v>
      </c>
      <c r="K57">
        <v>9.5220439999999993</v>
      </c>
      <c r="L57">
        <v>10.5699608</v>
      </c>
      <c r="M57">
        <v>28.143831899999999</v>
      </c>
      <c r="O57">
        <v>47</v>
      </c>
      <c r="P57" t="s">
        <v>48</v>
      </c>
      <c r="Q57">
        <v>4.474164</v>
      </c>
      <c r="R57">
        <v>9.5220439999999993</v>
      </c>
      <c r="S57">
        <v>10.5699608</v>
      </c>
      <c r="T57">
        <v>28.143831899999999</v>
      </c>
      <c r="V57">
        <v>47</v>
      </c>
      <c r="W57" t="s">
        <v>54</v>
      </c>
      <c r="X57">
        <v>12.291655</v>
      </c>
      <c r="Y57">
        <v>5.9314939999999998</v>
      </c>
      <c r="Z57">
        <v>14.031655600000001</v>
      </c>
      <c r="AA57">
        <v>74.340736570000004</v>
      </c>
    </row>
    <row r="58" spans="1:27" x14ac:dyDescent="0.2">
      <c r="A58">
        <v>48</v>
      </c>
      <c r="B58" t="s">
        <v>53</v>
      </c>
      <c r="C58">
        <v>4.3746754000000001</v>
      </c>
      <c r="D58">
        <v>5.0161661000000004</v>
      </c>
      <c r="E58">
        <v>7.2825319999999998</v>
      </c>
      <c r="F58">
        <v>28.82839572</v>
      </c>
      <c r="H58">
        <v>48</v>
      </c>
      <c r="I58" t="s">
        <v>50</v>
      </c>
      <c r="J58">
        <v>6.4981679999999997</v>
      </c>
      <c r="K58">
        <v>5.6417390000000003</v>
      </c>
      <c r="L58">
        <v>10.1991522</v>
      </c>
      <c r="M58">
        <v>18.763799200000001</v>
      </c>
      <c r="O58">
        <v>48</v>
      </c>
      <c r="P58" t="s">
        <v>50</v>
      </c>
      <c r="Q58">
        <v>6.4981679999999997</v>
      </c>
      <c r="R58">
        <v>5.6417390000000003</v>
      </c>
      <c r="S58">
        <v>10.1991522</v>
      </c>
      <c r="T58">
        <v>18.763799200000001</v>
      </c>
      <c r="V58">
        <v>48</v>
      </c>
      <c r="W58" t="s">
        <v>51</v>
      </c>
      <c r="X58">
        <v>11.543562</v>
      </c>
      <c r="Y58">
        <v>6.6635350000000004</v>
      </c>
      <c r="Z58">
        <v>13.833408</v>
      </c>
      <c r="AA58">
        <v>61.332504999999998</v>
      </c>
    </row>
    <row r="59" spans="1:27" x14ac:dyDescent="0.2">
      <c r="A59">
        <v>49</v>
      </c>
      <c r="B59" t="s">
        <v>37</v>
      </c>
      <c r="C59">
        <v>5.1546633000000002</v>
      </c>
      <c r="D59">
        <v>4.5494205000000001</v>
      </c>
      <c r="E59">
        <v>7.0446780999999996</v>
      </c>
      <c r="F59">
        <v>27.570064670000001</v>
      </c>
      <c r="H59">
        <v>49</v>
      </c>
      <c r="I59" t="s">
        <v>45</v>
      </c>
      <c r="J59">
        <v>4.9206789999999998</v>
      </c>
      <c r="K59">
        <v>8.3058150000000008</v>
      </c>
      <c r="L59">
        <v>10.180852399999999</v>
      </c>
      <c r="M59">
        <v>21.287453599999999</v>
      </c>
      <c r="O59">
        <v>49</v>
      </c>
      <c r="P59" t="s">
        <v>45</v>
      </c>
      <c r="Q59">
        <v>4.9206789999999998</v>
      </c>
      <c r="R59">
        <v>8.3058150000000008</v>
      </c>
      <c r="S59">
        <v>10.180852399999999</v>
      </c>
      <c r="T59">
        <v>21.287453599999999</v>
      </c>
      <c r="V59">
        <v>49</v>
      </c>
      <c r="W59" t="s">
        <v>41</v>
      </c>
      <c r="X59">
        <v>8.2717130000000001</v>
      </c>
      <c r="Y59">
        <v>8.9621650000000006</v>
      </c>
      <c r="Z59">
        <v>12.2081216</v>
      </c>
      <c r="AA59">
        <v>42.094507239999999</v>
      </c>
    </row>
    <row r="60" spans="1:27" x14ac:dyDescent="0.2">
      <c r="A60">
        <v>50</v>
      </c>
      <c r="B60" t="s">
        <v>41</v>
      </c>
      <c r="C60">
        <v>5.8437553500000003</v>
      </c>
      <c r="D60">
        <v>3.5673083000000001</v>
      </c>
      <c r="E60">
        <v>6.6944806000000003</v>
      </c>
      <c r="F60">
        <v>12.885963589999999</v>
      </c>
      <c r="H60">
        <v>50</v>
      </c>
      <c r="I60" t="s">
        <v>42</v>
      </c>
      <c r="J60">
        <v>4.1360440000000001</v>
      </c>
      <c r="K60">
        <v>9.5881749999999997</v>
      </c>
      <c r="L60">
        <v>10.164490199999999</v>
      </c>
      <c r="M60">
        <v>22.9306248</v>
      </c>
      <c r="O60">
        <v>50</v>
      </c>
      <c r="P60" t="s">
        <v>42</v>
      </c>
      <c r="Q60">
        <v>4.1360440000000001</v>
      </c>
      <c r="R60">
        <v>9.5881749999999997</v>
      </c>
      <c r="S60">
        <v>10.164490199999999</v>
      </c>
      <c r="T60">
        <v>22.9306248</v>
      </c>
      <c r="V60">
        <v>50</v>
      </c>
      <c r="W60" t="s">
        <v>45</v>
      </c>
      <c r="X60">
        <v>6.8988620000000003</v>
      </c>
      <c r="Y60">
        <v>7.5298150000000001</v>
      </c>
      <c r="Z60">
        <v>11.587779599999999</v>
      </c>
      <c r="AA60">
        <v>57.381834480000002</v>
      </c>
    </row>
    <row r="61" spans="1:27" x14ac:dyDescent="0.2">
      <c r="A61">
        <v>51</v>
      </c>
      <c r="B61" t="s">
        <v>48</v>
      </c>
      <c r="C61">
        <v>4.3817797399999998</v>
      </c>
      <c r="D61">
        <v>4.7630394000000003</v>
      </c>
      <c r="E61">
        <v>6.3574738000000002</v>
      </c>
      <c r="F61">
        <v>34.613328320000001</v>
      </c>
      <c r="H61">
        <v>51</v>
      </c>
      <c r="I61" t="s">
        <v>56</v>
      </c>
      <c r="J61">
        <v>8.2182469999999999</v>
      </c>
      <c r="K61">
        <v>4.9197220000000002</v>
      </c>
      <c r="L61">
        <v>9.9788303000000003</v>
      </c>
      <c r="M61">
        <v>17.751819600000001</v>
      </c>
      <c r="O61">
        <v>51</v>
      </c>
      <c r="P61" t="s">
        <v>56</v>
      </c>
      <c r="Q61">
        <v>8.2182469999999999</v>
      </c>
      <c r="R61">
        <v>4.9197220000000002</v>
      </c>
      <c r="S61">
        <v>9.9788303000000003</v>
      </c>
      <c r="T61">
        <v>17.751819600000001</v>
      </c>
      <c r="V61">
        <v>51</v>
      </c>
      <c r="W61" t="s">
        <v>60</v>
      </c>
      <c r="X61">
        <v>10.845504</v>
      </c>
      <c r="Y61">
        <v>3.7142010000000001</v>
      </c>
      <c r="Z61">
        <v>10.985626999999999</v>
      </c>
      <c r="AA61">
        <v>24.872199689999999</v>
      </c>
    </row>
    <row r="62" spans="1:27" x14ac:dyDescent="0.2">
      <c r="A62">
        <v>52</v>
      </c>
      <c r="B62" t="s">
        <v>52</v>
      </c>
      <c r="C62">
        <v>4.8091355299999998</v>
      </c>
      <c r="D62">
        <v>3.7357634000000002</v>
      </c>
      <c r="E62">
        <v>6.1334675000000001</v>
      </c>
      <c r="F62">
        <v>56.485856030000001</v>
      </c>
      <c r="H62">
        <v>52</v>
      </c>
      <c r="I62" t="s">
        <v>38</v>
      </c>
      <c r="J62">
        <v>1.844241</v>
      </c>
      <c r="K62">
        <v>9.9189799999999995</v>
      </c>
      <c r="L62">
        <v>9.0325023000000009</v>
      </c>
      <c r="M62">
        <v>20.596453799999999</v>
      </c>
      <c r="O62">
        <v>52</v>
      </c>
      <c r="P62" t="s">
        <v>38</v>
      </c>
      <c r="Q62">
        <v>1.844241</v>
      </c>
      <c r="R62">
        <v>9.9189799999999995</v>
      </c>
      <c r="S62">
        <v>9.0325023000000009</v>
      </c>
      <c r="T62">
        <v>20.596453799999999</v>
      </c>
      <c r="V62">
        <v>52</v>
      </c>
      <c r="W62" t="s">
        <v>43</v>
      </c>
      <c r="X62">
        <v>1.136666</v>
      </c>
      <c r="Y62">
        <v>12.814513</v>
      </c>
      <c r="Z62">
        <v>10.7316559</v>
      </c>
      <c r="AA62">
        <v>58.99758971</v>
      </c>
    </row>
    <row r="63" spans="1:27" x14ac:dyDescent="0.2">
      <c r="A63">
        <v>53</v>
      </c>
      <c r="B63" t="s">
        <v>39</v>
      </c>
      <c r="C63">
        <v>7.9468257299999996</v>
      </c>
      <c r="D63">
        <v>0.20915790000000001</v>
      </c>
      <c r="E63">
        <v>6.1278408000000004</v>
      </c>
      <c r="F63">
        <v>77.93274443</v>
      </c>
      <c r="H63">
        <v>53</v>
      </c>
      <c r="I63" t="s">
        <v>57</v>
      </c>
      <c r="J63">
        <v>5.3256800000000002</v>
      </c>
      <c r="K63">
        <v>6.0616399999999997</v>
      </c>
      <c r="L63">
        <v>7.3930888000000001</v>
      </c>
      <c r="M63">
        <v>1.6219973999999999</v>
      </c>
      <c r="O63">
        <v>53</v>
      </c>
      <c r="P63" t="s">
        <v>57</v>
      </c>
      <c r="Q63">
        <v>5.3256800000000002</v>
      </c>
      <c r="R63">
        <v>6.0616399999999997</v>
      </c>
      <c r="S63">
        <v>7.3930888000000001</v>
      </c>
      <c r="T63">
        <v>1.6219973999999999</v>
      </c>
      <c r="V63">
        <v>53</v>
      </c>
      <c r="W63" t="s">
        <v>56</v>
      </c>
      <c r="X63">
        <v>11.552303999999999</v>
      </c>
      <c r="Y63">
        <v>1.636045</v>
      </c>
      <c r="Z63">
        <v>9.9512786999999996</v>
      </c>
      <c r="AA63">
        <v>53.679238660000003</v>
      </c>
    </row>
    <row r="64" spans="1:27" x14ac:dyDescent="0.2">
      <c r="A64">
        <v>54</v>
      </c>
      <c r="B64" t="s">
        <v>58</v>
      </c>
      <c r="C64">
        <v>2.6427453299999999</v>
      </c>
      <c r="D64">
        <v>5.0652236999999998</v>
      </c>
      <c r="E64">
        <v>5.5342956000000001</v>
      </c>
      <c r="F64">
        <v>5.91354384</v>
      </c>
      <c r="H64">
        <v>54</v>
      </c>
      <c r="I64" t="s">
        <v>41</v>
      </c>
      <c r="J64">
        <v>2.4873810000000001</v>
      </c>
      <c r="K64">
        <v>7.4975100000000001</v>
      </c>
      <c r="L64">
        <v>7.1980180999999996</v>
      </c>
      <c r="M64">
        <v>14.0865686</v>
      </c>
      <c r="O64">
        <v>54</v>
      </c>
      <c r="P64" t="s">
        <v>41</v>
      </c>
      <c r="Q64">
        <v>2.4873810000000001</v>
      </c>
      <c r="R64">
        <v>7.4975100000000001</v>
      </c>
      <c r="S64">
        <v>7.1980180999999996</v>
      </c>
      <c r="T64">
        <v>14.0865686</v>
      </c>
      <c r="V64">
        <v>54</v>
      </c>
      <c r="W64" t="s">
        <v>57</v>
      </c>
      <c r="X64">
        <v>6.7095310000000001</v>
      </c>
      <c r="Y64">
        <v>7.9898210000000001</v>
      </c>
      <c r="Z64">
        <v>9.3716749999999998</v>
      </c>
      <c r="AA64">
        <v>6.0043914999999997</v>
      </c>
    </row>
    <row r="65" spans="1:27" x14ac:dyDescent="0.2">
      <c r="A65">
        <v>55</v>
      </c>
      <c r="B65" t="s">
        <v>56</v>
      </c>
      <c r="C65">
        <v>2.4189991599999998</v>
      </c>
      <c r="D65">
        <v>4.2653385000000004</v>
      </c>
      <c r="E65">
        <v>4.8337745999999999</v>
      </c>
      <c r="F65">
        <v>15.53093342</v>
      </c>
      <c r="H65">
        <v>55</v>
      </c>
      <c r="I65" t="s">
        <v>43</v>
      </c>
      <c r="J65">
        <v>3.6242730000000001</v>
      </c>
      <c r="K65">
        <v>3.6209009999999999</v>
      </c>
      <c r="L65">
        <v>5.2396965</v>
      </c>
      <c r="M65">
        <v>20.1619022</v>
      </c>
      <c r="O65">
        <v>55</v>
      </c>
      <c r="P65" t="s">
        <v>43</v>
      </c>
      <c r="Q65">
        <v>3.6242730000000001</v>
      </c>
      <c r="R65">
        <v>3.6209009999999999</v>
      </c>
      <c r="S65">
        <v>5.2396965</v>
      </c>
      <c r="T65">
        <v>20.1619022</v>
      </c>
      <c r="V65">
        <v>55</v>
      </c>
      <c r="W65" t="s">
        <v>50</v>
      </c>
      <c r="X65">
        <v>4.6426150000000002</v>
      </c>
      <c r="Y65">
        <v>6.4181379999999999</v>
      </c>
      <c r="Z65">
        <v>8.7588895000000004</v>
      </c>
      <c r="AA65">
        <v>54.338865599999998</v>
      </c>
    </row>
    <row r="66" spans="1:27" x14ac:dyDescent="0.2">
      <c r="A66">
        <v>56</v>
      </c>
      <c r="B66" t="s">
        <v>51</v>
      </c>
      <c r="C66">
        <v>3.3368430299999998</v>
      </c>
      <c r="D66">
        <v>3.3342830000000001</v>
      </c>
      <c r="E66">
        <v>4.6536764000000002</v>
      </c>
      <c r="F66">
        <v>13.06816132</v>
      </c>
      <c r="H66">
        <v>56</v>
      </c>
      <c r="I66" t="s">
        <v>55</v>
      </c>
      <c r="J66">
        <v>3.4477639999999998</v>
      </c>
      <c r="K66">
        <v>4.1485770000000004</v>
      </c>
      <c r="L66">
        <v>5.2163978999999996</v>
      </c>
      <c r="M66">
        <v>5.8583088999999999</v>
      </c>
      <c r="O66">
        <v>56</v>
      </c>
      <c r="P66" t="s">
        <v>55</v>
      </c>
      <c r="Q66">
        <v>3.4477639999999998</v>
      </c>
      <c r="R66">
        <v>4.1485770000000004</v>
      </c>
      <c r="S66">
        <v>5.2163978999999996</v>
      </c>
      <c r="T66">
        <v>5.8583088999999999</v>
      </c>
      <c r="V66">
        <v>56</v>
      </c>
      <c r="W66" t="s">
        <v>58</v>
      </c>
      <c r="X66">
        <v>5.6783099999999997</v>
      </c>
      <c r="Y66">
        <v>5.0397920000000003</v>
      </c>
      <c r="Z66">
        <v>7.7630189999999999</v>
      </c>
      <c r="AA66">
        <v>29.617583339999999</v>
      </c>
    </row>
    <row r="67" spans="1:27" x14ac:dyDescent="0.2">
      <c r="A67">
        <v>57</v>
      </c>
      <c r="B67" t="s">
        <v>60</v>
      </c>
      <c r="C67">
        <v>3.2592128300000001</v>
      </c>
      <c r="D67">
        <v>1.4864405000000001</v>
      </c>
      <c r="E67">
        <v>3.1834533</v>
      </c>
      <c r="F67">
        <v>2.4740600700000002</v>
      </c>
      <c r="H67">
        <v>57</v>
      </c>
      <c r="I67" t="s">
        <v>59</v>
      </c>
      <c r="J67">
        <v>2.0015450000000001</v>
      </c>
      <c r="K67">
        <v>3.2058</v>
      </c>
      <c r="L67">
        <v>3.9125171000000001</v>
      </c>
      <c r="M67">
        <v>11.731258199999999</v>
      </c>
      <c r="O67">
        <v>57</v>
      </c>
      <c r="P67" t="s">
        <v>59</v>
      </c>
      <c r="Q67">
        <v>2.0015450000000001</v>
      </c>
      <c r="R67">
        <v>3.2058</v>
      </c>
      <c r="S67">
        <v>3.9125171000000001</v>
      </c>
      <c r="T67">
        <v>11.731258199999999</v>
      </c>
      <c r="V67">
        <v>57</v>
      </c>
      <c r="W67" t="s">
        <v>55</v>
      </c>
      <c r="X67">
        <v>5.0232650000000003</v>
      </c>
      <c r="Y67">
        <v>3.6866509999999999</v>
      </c>
      <c r="Z67">
        <v>6.6319061000000001</v>
      </c>
      <c r="AA67">
        <v>23.998205500000001</v>
      </c>
    </row>
    <row r="68" spans="1:27" x14ac:dyDescent="0.2">
      <c r="A68">
        <v>58</v>
      </c>
      <c r="B68" t="s">
        <v>55</v>
      </c>
      <c r="C68">
        <v>3.2321890400000002</v>
      </c>
      <c r="D68">
        <v>0.78330429999999995</v>
      </c>
      <c r="E68">
        <v>2.7920036000000001</v>
      </c>
      <c r="F68">
        <v>5.25496768</v>
      </c>
      <c r="H68">
        <v>58</v>
      </c>
      <c r="I68" t="s">
        <v>60</v>
      </c>
      <c r="J68">
        <v>2.5539529999999999</v>
      </c>
      <c r="K68">
        <v>2.8254990000000002</v>
      </c>
      <c r="L68">
        <v>3.7541755000000001</v>
      </c>
      <c r="M68">
        <v>2.3335846999999998</v>
      </c>
      <c r="O68">
        <v>58</v>
      </c>
      <c r="P68" t="s">
        <v>60</v>
      </c>
      <c r="Q68">
        <v>2.5539529999999999</v>
      </c>
      <c r="R68">
        <v>2.8254990000000002</v>
      </c>
      <c r="S68">
        <v>3.7541755000000001</v>
      </c>
      <c r="T68">
        <v>2.3335846999999998</v>
      </c>
      <c r="V68">
        <v>58</v>
      </c>
      <c r="W68" t="s">
        <v>49</v>
      </c>
      <c r="X68">
        <v>7.013706</v>
      </c>
      <c r="Y68">
        <v>0.80590099999999998</v>
      </c>
      <c r="Z68">
        <v>6.2686308999999998</v>
      </c>
      <c r="AA68">
        <v>13.67756028</v>
      </c>
    </row>
    <row r="69" spans="1:27" x14ac:dyDescent="0.2">
      <c r="A69">
        <v>59</v>
      </c>
      <c r="B69" t="s">
        <v>57</v>
      </c>
      <c r="C69">
        <v>2.1993449799999998</v>
      </c>
      <c r="D69">
        <v>1.6301972</v>
      </c>
      <c r="E69">
        <v>2.4530927999999999</v>
      </c>
      <c r="F69">
        <v>0.79533257000000002</v>
      </c>
      <c r="H69">
        <v>59</v>
      </c>
      <c r="I69" t="s">
        <v>58</v>
      </c>
      <c r="J69">
        <v>2.0111509999999999</v>
      </c>
      <c r="K69">
        <v>3.0207350000000002</v>
      </c>
      <c r="L69">
        <v>3.3554157</v>
      </c>
      <c r="M69">
        <v>5.2425819000000002</v>
      </c>
      <c r="O69">
        <v>59</v>
      </c>
      <c r="P69" t="s">
        <v>58</v>
      </c>
      <c r="Q69">
        <v>2.0111509999999999</v>
      </c>
      <c r="R69">
        <v>3.0207350000000002</v>
      </c>
      <c r="S69">
        <v>3.3554157</v>
      </c>
      <c r="T69">
        <v>5.2425819000000002</v>
      </c>
      <c r="V69">
        <v>59</v>
      </c>
      <c r="W69" t="s">
        <v>59</v>
      </c>
      <c r="X69">
        <v>4.2184460000000001</v>
      </c>
      <c r="Y69">
        <v>1.532346</v>
      </c>
      <c r="Z69">
        <v>4.2983374999999997</v>
      </c>
      <c r="AA69">
        <v>32.780261729999999</v>
      </c>
    </row>
    <row r="70" spans="1:27" x14ac:dyDescent="0.2">
      <c r="A70">
        <v>60</v>
      </c>
      <c r="B70" t="s">
        <v>59</v>
      </c>
      <c r="C70">
        <v>1.9160409999999999E-2</v>
      </c>
      <c r="D70">
        <v>1.4302299000000001</v>
      </c>
      <c r="E70">
        <v>1.0277182</v>
      </c>
      <c r="F70">
        <v>8.5354184199999992</v>
      </c>
      <c r="H70">
        <v>60</v>
      </c>
      <c r="I70" t="s">
        <v>49</v>
      </c>
      <c r="J70">
        <v>1.951481</v>
      </c>
      <c r="K70">
        <v>1.585923</v>
      </c>
      <c r="L70">
        <v>2.2983063000000001</v>
      </c>
      <c r="M70">
        <v>0.73427909999999996</v>
      </c>
      <c r="O70">
        <v>60</v>
      </c>
      <c r="P70" t="s">
        <v>49</v>
      </c>
      <c r="Q70">
        <v>1.951481</v>
      </c>
      <c r="R70">
        <v>1.585923</v>
      </c>
      <c r="S70">
        <v>2.2983063000000001</v>
      </c>
      <c r="T70">
        <v>0.73427909999999996</v>
      </c>
      <c r="V70">
        <v>60</v>
      </c>
      <c r="W70" t="s">
        <v>61</v>
      </c>
      <c r="X70">
        <v>-1.272097</v>
      </c>
      <c r="Y70">
        <v>1.394979</v>
      </c>
      <c r="Z70">
        <v>0.16511880000000001</v>
      </c>
      <c r="AA70">
        <v>1.4028823699999999</v>
      </c>
    </row>
    <row r="71" spans="1:27" x14ac:dyDescent="0.2">
      <c r="A71">
        <v>61</v>
      </c>
      <c r="B71" t="s">
        <v>61</v>
      </c>
      <c r="C71">
        <v>-0.58810320000000005</v>
      </c>
      <c r="D71">
        <v>0.98306979999999999</v>
      </c>
      <c r="E71">
        <v>0.35859340000000001</v>
      </c>
      <c r="F71">
        <v>0.29556051</v>
      </c>
      <c r="H71">
        <v>61</v>
      </c>
      <c r="I71" t="s">
        <v>63</v>
      </c>
      <c r="J71">
        <v>0</v>
      </c>
      <c r="K71">
        <v>0</v>
      </c>
      <c r="L71">
        <v>0</v>
      </c>
      <c r="M71">
        <v>0</v>
      </c>
      <c r="O71">
        <v>61</v>
      </c>
      <c r="P71" t="s">
        <v>63</v>
      </c>
      <c r="Q71">
        <v>0</v>
      </c>
      <c r="R71">
        <v>0</v>
      </c>
      <c r="S71">
        <v>0</v>
      </c>
      <c r="T71">
        <v>0</v>
      </c>
      <c r="V71">
        <v>61</v>
      </c>
      <c r="W71" t="s">
        <v>63</v>
      </c>
      <c r="X71">
        <v>0</v>
      </c>
      <c r="Y71">
        <v>0</v>
      </c>
      <c r="Z71">
        <v>0</v>
      </c>
      <c r="AA71">
        <v>9.3979259999999995E-2</v>
      </c>
    </row>
    <row r="72" spans="1:27" x14ac:dyDescent="0.2">
      <c r="A72">
        <v>62</v>
      </c>
      <c r="B72" t="s">
        <v>63</v>
      </c>
      <c r="C72">
        <v>0</v>
      </c>
      <c r="D72">
        <v>0</v>
      </c>
      <c r="E72">
        <v>0</v>
      </c>
      <c r="F72">
        <v>3.7833579999999999E-2</v>
      </c>
      <c r="H72">
        <v>62</v>
      </c>
      <c r="I72" t="s">
        <v>61</v>
      </c>
      <c r="J72">
        <v>-1.417049</v>
      </c>
      <c r="K72">
        <v>1.0010019999999999</v>
      </c>
      <c r="L72">
        <v>-0.57107739999999996</v>
      </c>
      <c r="M72">
        <v>0.11494749999999999</v>
      </c>
      <c r="O72">
        <v>62</v>
      </c>
      <c r="P72" t="s">
        <v>61</v>
      </c>
      <c r="Q72">
        <v>-1.417049</v>
      </c>
      <c r="R72">
        <v>1.0010019999999999</v>
      </c>
      <c r="S72">
        <v>-0.57107739999999996</v>
      </c>
      <c r="T72">
        <v>0.11494749999999999</v>
      </c>
      <c r="V72" t="s">
        <v>214</v>
      </c>
    </row>
    <row r="73" spans="1:27" x14ac:dyDescent="0.2">
      <c r="A73" t="s">
        <v>181</v>
      </c>
      <c r="H73" t="s">
        <v>181</v>
      </c>
      <c r="O73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4D4F-6557-F349-AE40-E44862DC612C}">
  <dimension ref="A1:AK113"/>
  <sheetViews>
    <sheetView tabSelected="1" topLeftCell="Q1" workbookViewId="0">
      <selection activeCell="AJ22" sqref="AJ22"/>
    </sheetView>
  </sheetViews>
  <sheetFormatPr baseColWidth="10" defaultRowHeight="16" x14ac:dyDescent="0.2"/>
  <cols>
    <col min="26" max="26" width="9.5" customWidth="1"/>
    <col min="27" max="27" width="13.1640625" bestFit="1" customWidth="1"/>
    <col min="28" max="28" width="7" bestFit="1" customWidth="1"/>
    <col min="29" max="29" width="13.1640625" bestFit="1" customWidth="1"/>
    <col min="30" max="30" width="5.1640625" bestFit="1" customWidth="1"/>
    <col min="31" max="31" width="13.1640625" bestFit="1" customWidth="1"/>
    <col min="32" max="32" width="6.33203125" customWidth="1"/>
    <col min="33" max="33" width="7.6640625" customWidth="1"/>
  </cols>
  <sheetData>
    <row r="1" spans="1:37" s="10" customFormat="1" x14ac:dyDescent="0.2">
      <c r="A1" s="9" t="s">
        <v>82</v>
      </c>
    </row>
    <row r="2" spans="1:37" x14ac:dyDescent="0.2">
      <c r="A2" s="3" t="s">
        <v>83</v>
      </c>
      <c r="I2" s="3" t="s">
        <v>84</v>
      </c>
      <c r="Q2" s="3" t="s">
        <v>85</v>
      </c>
    </row>
    <row r="3" spans="1:37" x14ac:dyDescent="0.2">
      <c r="A3" s="18" t="s">
        <v>175</v>
      </c>
      <c r="B3" t="s">
        <v>176</v>
      </c>
      <c r="I3" s="18" t="s">
        <v>175</v>
      </c>
      <c r="J3" t="s">
        <v>177</v>
      </c>
      <c r="O3" t="s">
        <v>178</v>
      </c>
      <c r="Q3" s="18" t="s">
        <v>175</v>
      </c>
      <c r="Z3" s="29"/>
      <c r="AA3" s="31" t="s">
        <v>83</v>
      </c>
      <c r="AB3" s="35"/>
      <c r="AC3" s="37" t="s">
        <v>84</v>
      </c>
      <c r="AD3" s="35"/>
      <c r="AE3" s="37" t="s">
        <v>328</v>
      </c>
      <c r="AF3" s="35"/>
      <c r="AG3" s="37" t="s">
        <v>329</v>
      </c>
    </row>
    <row r="4" spans="1:37" x14ac:dyDescent="0.2">
      <c r="A4" s="18" t="s">
        <v>75</v>
      </c>
      <c r="B4" s="4">
        <v>0.71760000000000002</v>
      </c>
      <c r="I4" s="18" t="s">
        <v>75</v>
      </c>
      <c r="J4" s="4">
        <v>0.70830000000000004</v>
      </c>
      <c r="Q4" s="18" t="s">
        <v>75</v>
      </c>
      <c r="R4" s="4">
        <v>0.69030000000000002</v>
      </c>
      <c r="Y4" s="30"/>
      <c r="Z4" s="30"/>
      <c r="AA4" s="32" t="s">
        <v>224</v>
      </c>
      <c r="AB4" s="38" t="s">
        <v>65</v>
      </c>
      <c r="AC4" s="39" t="s">
        <v>224</v>
      </c>
      <c r="AD4" s="38" t="s">
        <v>65</v>
      </c>
      <c r="AE4" s="39" t="s">
        <v>224</v>
      </c>
      <c r="AF4" s="38" t="s">
        <v>65</v>
      </c>
      <c r="AG4" s="39" t="s">
        <v>65</v>
      </c>
    </row>
    <row r="5" spans="1:37" x14ac:dyDescent="0.2">
      <c r="A5" s="3"/>
      <c r="I5" s="3"/>
      <c r="Q5" s="3"/>
      <c r="Y5" s="46" t="s">
        <v>331</v>
      </c>
      <c r="Z5" s="7" t="s">
        <v>2</v>
      </c>
      <c r="AA5" s="33">
        <f>IFERROR(VLOOKUP($Z5,$B$8:$C$28,2,FALSE),NA())</f>
        <v>0.35914908000000001</v>
      </c>
      <c r="AB5" s="34">
        <f>IFERROR(MATCH($Z5,$B$9:$B$28,0),NA())</f>
        <v>2</v>
      </c>
      <c r="AC5" s="33">
        <f>IFERROR(VLOOKUP($Z5,$J$8:$K$28,2,FALSE),NA())</f>
        <v>0.24838454700000001</v>
      </c>
      <c r="AD5" s="34">
        <f>IFERROR(MATCH($Z5,$J$9:$J$28,0),NA())</f>
        <v>6</v>
      </c>
      <c r="AE5" s="33">
        <f>IFERROR(VLOOKUP($Z5,$R$8:$S$28,2,FALSE),NA())</f>
        <v>0.33452618499999998</v>
      </c>
      <c r="AF5" s="34">
        <f>IFERROR(MATCH($Z5,$R$9:$R$28,0),NA())</f>
        <v>1</v>
      </c>
      <c r="AG5" s="40">
        <f>AVERAGE(AF5,AD5,AB5)</f>
        <v>3</v>
      </c>
      <c r="AK5" s="7"/>
    </row>
    <row r="6" spans="1:37" x14ac:dyDescent="0.2">
      <c r="A6" s="3" t="s">
        <v>65</v>
      </c>
      <c r="B6" s="3" t="s">
        <v>154</v>
      </c>
      <c r="C6" s="3" t="s">
        <v>155</v>
      </c>
      <c r="D6" s="3" t="s">
        <v>71</v>
      </c>
      <c r="E6" s="3" t="s">
        <v>72</v>
      </c>
      <c r="F6" s="3" t="s">
        <v>73</v>
      </c>
      <c r="G6" s="3" t="s">
        <v>74</v>
      </c>
      <c r="I6" s="3" t="s">
        <v>65</v>
      </c>
      <c r="J6" s="3" t="s">
        <v>154</v>
      </c>
      <c r="K6" s="3" t="s">
        <v>155</v>
      </c>
      <c r="L6" s="3" t="s">
        <v>71</v>
      </c>
      <c r="M6" s="3" t="s">
        <v>72</v>
      </c>
      <c r="N6" s="3" t="s">
        <v>73</v>
      </c>
      <c r="O6" s="3" t="s">
        <v>74</v>
      </c>
      <c r="Q6" s="3" t="s">
        <v>65</v>
      </c>
      <c r="R6" s="3" t="s">
        <v>154</v>
      </c>
      <c r="S6" s="3" t="s">
        <v>155</v>
      </c>
      <c r="T6" s="3" t="s">
        <v>71</v>
      </c>
      <c r="U6" s="3" t="s">
        <v>72</v>
      </c>
      <c r="V6" s="3" t="s">
        <v>73</v>
      </c>
      <c r="W6" s="3" t="s">
        <v>74</v>
      </c>
      <c r="Y6" s="46"/>
      <c r="Z6" s="7" t="s">
        <v>0</v>
      </c>
      <c r="AA6" s="33">
        <f>IFERROR(VLOOKUP($Z6,$B$8:$C$28,2,FALSE),NA())</f>
        <v>-0.50740322999999998</v>
      </c>
      <c r="AB6" s="34">
        <f>IFERROR(MATCH($Z6,$B$9:$B$28,0),NA())</f>
        <v>1</v>
      </c>
      <c r="AC6" s="33">
        <f>IFERROR(VLOOKUP($Z6,$J$8:$K$28,2,FALSE),NA())</f>
        <v>-0.35695858000000003</v>
      </c>
      <c r="AD6" s="34">
        <f>IFERROR(MATCH($Z6,$J$9:$J$28,0),NA())</f>
        <v>1</v>
      </c>
      <c r="AE6" s="33">
        <f>IFERROR(VLOOKUP($Z6,$R$8:$S$28,2,FALSE),NA())</f>
        <v>-0.16268429300000001</v>
      </c>
      <c r="AF6" s="34">
        <f>IFERROR(MATCH($Z6,$R$9:$R$28,0),NA())</f>
        <v>8</v>
      </c>
      <c r="AG6" s="40">
        <f>AVERAGE(AF6,AD6,AB6)</f>
        <v>3.3333333333333335</v>
      </c>
      <c r="AK6" s="7"/>
    </row>
    <row r="7" spans="1:37" x14ac:dyDescent="0.2">
      <c r="Y7" s="46"/>
      <c r="Z7" s="7" t="s">
        <v>1</v>
      </c>
      <c r="AA7" s="33">
        <f>IFERROR(VLOOKUP($Z7,$B$8:$C$28,2,FALSE),NA())</f>
        <v>0.23510961</v>
      </c>
      <c r="AB7" s="34">
        <f>IFERROR(MATCH($Z7,$B$9:$B$28,0),NA())</f>
        <v>5</v>
      </c>
      <c r="AC7" s="33">
        <f>IFERROR(VLOOKUP($Z7,$J$8:$K$28,2,FALSE),NA())</f>
        <v>0.257829537</v>
      </c>
      <c r="AD7" s="34">
        <f>IFERROR(MATCH($Z7,$J$9:$J$28,0),NA())</f>
        <v>5</v>
      </c>
      <c r="AE7" s="33">
        <f>IFERROR(VLOOKUP($Z7,$R$8:$S$28,2,FALSE),NA())</f>
        <v>0.18514720200000001</v>
      </c>
      <c r="AF7" s="34">
        <f>IFERROR(MATCH($Z7,$R$9:$R$28,0),NA())</f>
        <v>5</v>
      </c>
      <c r="AG7" s="40">
        <f>AVERAGE(AF7,AD7,AB7)</f>
        <v>5</v>
      </c>
      <c r="AK7" s="7"/>
    </row>
    <row r="8" spans="1:37" x14ac:dyDescent="0.2">
      <c r="A8">
        <v>1</v>
      </c>
      <c r="B8" t="s">
        <v>79</v>
      </c>
      <c r="C8">
        <v>0.98126400999999996</v>
      </c>
      <c r="D8">
        <v>0.95</v>
      </c>
      <c r="E8">
        <v>0.93772960999999999</v>
      </c>
      <c r="F8">
        <v>1.025171608</v>
      </c>
      <c r="G8">
        <v>0.98126400999999996</v>
      </c>
      <c r="I8">
        <v>1</v>
      </c>
      <c r="J8" t="s">
        <v>79</v>
      </c>
      <c r="K8">
        <v>0.50880905300000001</v>
      </c>
      <c r="L8">
        <v>0.95</v>
      </c>
      <c r="M8">
        <v>0.469370338</v>
      </c>
      <c r="N8">
        <v>0.54841359000000001</v>
      </c>
      <c r="O8">
        <v>0.50880905300000001</v>
      </c>
      <c r="Q8">
        <v>1</v>
      </c>
      <c r="R8" t="s">
        <v>79</v>
      </c>
      <c r="S8">
        <v>1.2046776340000001</v>
      </c>
      <c r="T8">
        <v>0.95</v>
      </c>
      <c r="U8">
        <v>1.1593863929999999</v>
      </c>
      <c r="V8">
        <v>1.25046031</v>
      </c>
      <c r="W8">
        <v>1.2046776340000001</v>
      </c>
      <c r="Y8" s="46"/>
      <c r="Z8" s="7" t="s">
        <v>13</v>
      </c>
      <c r="AA8" s="33">
        <f>IFERROR(VLOOKUP($Z8,$B$8:$C$28,2,FALSE),NA())</f>
        <v>-0.24086747999999999</v>
      </c>
      <c r="AB8" s="34">
        <f>IFERROR(MATCH($Z8,$B$9:$B$28,0),NA())</f>
        <v>4</v>
      </c>
      <c r="AC8" s="33">
        <f>IFERROR(VLOOKUP($Z8,$J$8:$K$28,2,FALSE),NA())</f>
        <v>0.289748485</v>
      </c>
      <c r="AD8" s="34">
        <f>IFERROR(MATCH($Z8,$J$9:$J$28,0),NA())</f>
        <v>3</v>
      </c>
      <c r="AE8" s="33">
        <f>IFERROR(VLOOKUP($Z8,$R$8:$S$28,2,FALSE),NA())</f>
        <v>0.13072843000000001</v>
      </c>
      <c r="AF8" s="34">
        <f>IFERROR(MATCH($Z8,$R$9:$R$28,0),NA())</f>
        <v>10</v>
      </c>
      <c r="AG8" s="40">
        <f>AVERAGE(AF8,AD8,AB8)</f>
        <v>5.666666666666667</v>
      </c>
      <c r="AK8" s="7"/>
    </row>
    <row r="9" spans="1:37" x14ac:dyDescent="0.2">
      <c r="A9">
        <v>2</v>
      </c>
      <c r="B9" t="s">
        <v>0</v>
      </c>
      <c r="C9">
        <v>-0.50740322999999998</v>
      </c>
      <c r="D9">
        <v>0.95</v>
      </c>
      <c r="E9">
        <v>-0.55126143999999999</v>
      </c>
      <c r="F9">
        <v>-0.46399141199999999</v>
      </c>
      <c r="G9">
        <v>0.50740322999999998</v>
      </c>
      <c r="I9">
        <v>2</v>
      </c>
      <c r="J9" t="s">
        <v>0</v>
      </c>
      <c r="K9">
        <v>-0.35695858000000003</v>
      </c>
      <c r="L9">
        <v>0.95</v>
      </c>
      <c r="M9">
        <v>-0.39676892000000002</v>
      </c>
      <c r="N9">
        <v>-0.31739450000000002</v>
      </c>
      <c r="O9">
        <v>0.35695858000000003</v>
      </c>
      <c r="Q9">
        <v>2</v>
      </c>
      <c r="R9" t="s">
        <v>2</v>
      </c>
      <c r="S9">
        <v>0.33452618499999998</v>
      </c>
      <c r="T9">
        <v>0.95</v>
      </c>
      <c r="U9">
        <v>0.270829449</v>
      </c>
      <c r="V9">
        <v>0.39959930999999999</v>
      </c>
      <c r="W9">
        <v>0.33452618499999998</v>
      </c>
      <c r="Y9" s="46"/>
      <c r="Z9" s="7" t="s">
        <v>4</v>
      </c>
      <c r="AA9" s="33">
        <f>IFERROR(VLOOKUP($Z9,$B$8:$C$28,2,FALSE),NA())</f>
        <v>-0.21287331000000001</v>
      </c>
      <c r="AB9" s="34">
        <f>IFERROR(MATCH($Z9,$B$9:$B$28,0),NA())</f>
        <v>7</v>
      </c>
      <c r="AC9" s="33">
        <f>IFERROR(VLOOKUP($Z9,$J$8:$K$28,2,FALSE),NA())</f>
        <v>-0.16214954600000001</v>
      </c>
      <c r="AD9" s="34">
        <f>IFERROR(MATCH($Z9,$J$9:$J$28,0),NA())</f>
        <v>8</v>
      </c>
      <c r="AE9" s="33">
        <f>IFERROR(VLOOKUP($Z9,$R$8:$S$28,2,FALSE),NA())</f>
        <v>-0.212509644</v>
      </c>
      <c r="AF9" s="34">
        <f>IFERROR(MATCH($Z9,$R$9:$R$28,0),NA())</f>
        <v>3</v>
      </c>
      <c r="AG9" s="40">
        <f>AVERAGE(AF9,AD9,AB9)</f>
        <v>6</v>
      </c>
      <c r="AK9" s="7"/>
    </row>
    <row r="10" spans="1:37" x14ac:dyDescent="0.2">
      <c r="A10">
        <v>3</v>
      </c>
      <c r="B10" t="s">
        <v>2</v>
      </c>
      <c r="C10">
        <v>0.35914908000000001</v>
      </c>
      <c r="D10">
        <v>0.95</v>
      </c>
      <c r="E10">
        <v>0.29415366999999998</v>
      </c>
      <c r="F10">
        <v>0.42496721799999998</v>
      </c>
      <c r="G10">
        <v>0.35914908000000001</v>
      </c>
      <c r="I10">
        <v>3</v>
      </c>
      <c r="J10" t="s">
        <v>12</v>
      </c>
      <c r="K10">
        <v>0.332762532</v>
      </c>
      <c r="L10">
        <v>0.95</v>
      </c>
      <c r="M10">
        <v>0.28844081399999999</v>
      </c>
      <c r="N10">
        <v>0.37738786000000002</v>
      </c>
      <c r="O10">
        <v>0.332762532</v>
      </c>
      <c r="Q10">
        <v>3</v>
      </c>
      <c r="R10" t="s">
        <v>5</v>
      </c>
      <c r="S10">
        <v>0.30856134499999999</v>
      </c>
      <c r="T10">
        <v>0.95</v>
      </c>
      <c r="U10">
        <v>0.24857525599999999</v>
      </c>
      <c r="V10">
        <v>0.36952005999999998</v>
      </c>
      <c r="W10">
        <v>0.30856134499999999</v>
      </c>
      <c r="Y10" s="46"/>
      <c r="Z10" s="7" t="s">
        <v>5</v>
      </c>
      <c r="AA10" s="33">
        <f>IFERROR(VLOOKUP($Z10,$B$8:$C$28,2,FALSE),NA())</f>
        <v>0.10767296</v>
      </c>
      <c r="AB10" s="34">
        <f>IFERROR(MATCH($Z10,$B$9:$B$28,0),NA())</f>
        <v>13</v>
      </c>
      <c r="AC10" s="33">
        <f>IFERROR(VLOOKUP($Z10,$J$8:$K$28,2,FALSE),NA())</f>
        <v>0.16765865699999999</v>
      </c>
      <c r="AD10" s="34">
        <f>IFERROR(MATCH($Z10,$J$9:$J$28,0),NA())</f>
        <v>7</v>
      </c>
      <c r="AE10" s="33">
        <f>IFERROR(VLOOKUP($Z10,$R$8:$S$28,2,FALSE),NA())</f>
        <v>0.30856134499999999</v>
      </c>
      <c r="AF10" s="34">
        <f>IFERROR(MATCH($Z10,$R$9:$R$28,0),NA())</f>
        <v>2</v>
      </c>
      <c r="AG10" s="40">
        <f>AVERAGE(AF10,AD10,AB10)</f>
        <v>7.333333333333333</v>
      </c>
      <c r="AK10" s="7"/>
    </row>
    <row r="11" spans="1:37" x14ac:dyDescent="0.2">
      <c r="A11">
        <v>4</v>
      </c>
      <c r="B11" t="s">
        <v>16</v>
      </c>
      <c r="C11">
        <v>-0.27315663000000001</v>
      </c>
      <c r="D11">
        <v>0.95</v>
      </c>
      <c r="E11">
        <v>-0.33654638999999997</v>
      </c>
      <c r="F11">
        <v>-0.209983317</v>
      </c>
      <c r="G11">
        <v>0.27315663000000001</v>
      </c>
      <c r="I11">
        <v>4</v>
      </c>
      <c r="J11" t="s">
        <v>13</v>
      </c>
      <c r="K11">
        <v>0.289748485</v>
      </c>
      <c r="L11">
        <v>0.95</v>
      </c>
      <c r="M11">
        <v>0.151386353</v>
      </c>
      <c r="N11">
        <v>0.42849586000000001</v>
      </c>
      <c r="O11">
        <v>0.289748485</v>
      </c>
      <c r="Q11">
        <v>4</v>
      </c>
      <c r="R11" t="s">
        <v>4</v>
      </c>
      <c r="S11">
        <v>-0.212509644</v>
      </c>
      <c r="T11">
        <v>0.95</v>
      </c>
      <c r="U11">
        <v>-0.25778464800000001</v>
      </c>
      <c r="V11">
        <v>-0.16731267</v>
      </c>
      <c r="W11">
        <v>0.212509644</v>
      </c>
      <c r="Y11" s="46"/>
      <c r="Z11" s="7" t="s">
        <v>9</v>
      </c>
      <c r="AA11" s="33">
        <f>IFERROR(VLOOKUP($Z11,$B$8:$C$28,2,FALSE),NA())</f>
        <v>8.9305599999999999E-2</v>
      </c>
      <c r="AB11" s="34">
        <f>IFERROR(MATCH($Z11,$B$9:$B$28,0),NA())</f>
        <v>14</v>
      </c>
      <c r="AC11" s="33">
        <f>IFERROR(VLOOKUP($Z11,$J$8:$K$28,2,FALSE),NA())</f>
        <v>-0.268044699</v>
      </c>
      <c r="AD11" s="34">
        <f>IFERROR(MATCH($Z11,$J$9:$J$28,0),NA())</f>
        <v>4</v>
      </c>
      <c r="AE11" s="33">
        <f>IFERROR(VLOOKUP($Z11,$R$8:$S$28,2,FALSE),NA())</f>
        <v>-0.18020407499999999</v>
      </c>
      <c r="AF11" s="34">
        <f>IFERROR(MATCH($Z11,$R$9:$R$28,0),NA())</f>
        <v>6</v>
      </c>
      <c r="AG11" s="40">
        <f>AVERAGE(AF11,AD11,AB11)</f>
        <v>8</v>
      </c>
      <c r="AK11" s="7"/>
    </row>
    <row r="12" spans="1:37" x14ac:dyDescent="0.2">
      <c r="A12">
        <v>5</v>
      </c>
      <c r="B12" t="s">
        <v>13</v>
      </c>
      <c r="C12">
        <v>-0.24086747999999999</v>
      </c>
      <c r="D12">
        <v>0.95</v>
      </c>
      <c r="E12">
        <v>-0.40315442000000001</v>
      </c>
      <c r="F12">
        <v>-7.9433359999999995E-2</v>
      </c>
      <c r="G12">
        <v>0.24086747999999999</v>
      </c>
      <c r="I12">
        <v>5</v>
      </c>
      <c r="J12" t="s">
        <v>9</v>
      </c>
      <c r="K12">
        <v>-0.268044699</v>
      </c>
      <c r="L12">
        <v>0.95</v>
      </c>
      <c r="M12">
        <v>-0.32780879800000001</v>
      </c>
      <c r="N12">
        <v>-0.20835587999999999</v>
      </c>
      <c r="O12">
        <v>0.268044699</v>
      </c>
      <c r="Q12">
        <v>5</v>
      </c>
      <c r="R12" t="s">
        <v>21</v>
      </c>
      <c r="S12">
        <v>0.209764856</v>
      </c>
      <c r="T12">
        <v>0.95</v>
      </c>
      <c r="U12">
        <v>0.15677967000000001</v>
      </c>
      <c r="V12">
        <v>0.26324196</v>
      </c>
      <c r="W12">
        <v>0.209764856</v>
      </c>
      <c r="Y12" s="47"/>
      <c r="Z12" s="42" t="s">
        <v>3</v>
      </c>
      <c r="AA12" s="43">
        <f>IFERROR(VLOOKUP($Z12,$B$8:$C$28,2,FALSE),NA())</f>
        <v>-0.1825369</v>
      </c>
      <c r="AB12" s="38">
        <f>IFERROR(MATCH($Z12,$B$9:$B$28,0),NA())</f>
        <v>8</v>
      </c>
      <c r="AC12" s="43">
        <f>IFERROR(VLOOKUP($Z12,$J$8:$K$28,2,FALSE),NA())</f>
        <v>-0.151421742</v>
      </c>
      <c r="AD12" s="38">
        <f>IFERROR(MATCH($Z12,$J$9:$J$28,0),NA())</f>
        <v>9</v>
      </c>
      <c r="AE12" s="43">
        <f>IFERROR(VLOOKUP($Z12,$R$8:$S$28,2,FALSE),NA())</f>
        <v>-0.15817969200000001</v>
      </c>
      <c r="AF12" s="38">
        <f>IFERROR(MATCH($Z12,$R$9:$R$28,0),NA())</f>
        <v>9</v>
      </c>
      <c r="AG12" s="44">
        <f>AVERAGE(AF12,AD12,AB12)</f>
        <v>8.6666666666666661</v>
      </c>
      <c r="AK12" s="7"/>
    </row>
    <row r="13" spans="1:37" x14ac:dyDescent="0.2">
      <c r="A13">
        <v>6</v>
      </c>
      <c r="B13" t="s">
        <v>1</v>
      </c>
      <c r="C13">
        <v>0.23510961</v>
      </c>
      <c r="D13">
        <v>0.95</v>
      </c>
      <c r="E13">
        <v>0.18593418</v>
      </c>
      <c r="F13">
        <v>0.28463036400000002</v>
      </c>
      <c r="G13">
        <v>0.23510961</v>
      </c>
      <c r="I13">
        <v>6</v>
      </c>
      <c r="J13" t="s">
        <v>1</v>
      </c>
      <c r="K13">
        <v>0.257829537</v>
      </c>
      <c r="L13">
        <v>0.95</v>
      </c>
      <c r="M13">
        <v>0.20635263400000001</v>
      </c>
      <c r="N13">
        <v>0.30970055000000002</v>
      </c>
      <c r="O13">
        <v>0.257829537</v>
      </c>
      <c r="Q13">
        <v>6</v>
      </c>
      <c r="R13" t="s">
        <v>1</v>
      </c>
      <c r="S13">
        <v>0.18514720200000001</v>
      </c>
      <c r="T13">
        <v>0.95</v>
      </c>
      <c r="U13">
        <v>0.130170166</v>
      </c>
      <c r="V13">
        <v>0.24037163</v>
      </c>
      <c r="W13">
        <v>0.18514720200000001</v>
      </c>
      <c r="Y13" s="45" t="s">
        <v>332</v>
      </c>
      <c r="Z13" s="7" t="s">
        <v>330</v>
      </c>
      <c r="AA13" s="33">
        <f>IFERROR(VLOOKUP($Z13,$B$8:$C$28,2,FALSE),NA())</f>
        <v>-0.17848924999999999</v>
      </c>
      <c r="AB13" s="34">
        <f>IFERROR(MATCH($Z13,$B$9:$B$28,0),NA())</f>
        <v>9</v>
      </c>
      <c r="AC13" s="33">
        <f>IFERROR(VLOOKUP($Z13,$J$8:$K$28,2,FALSE),NA())</f>
        <v>-9.0600477999999998E-2</v>
      </c>
      <c r="AD13" s="34">
        <f>IFERROR(MATCH($Z13,$J$9:$J$28,0),NA())</f>
        <v>15</v>
      </c>
      <c r="AE13" s="33">
        <f>IFERROR(VLOOKUP($Z13,$R$8:$S$28,2,FALSE),NA())</f>
        <v>-8.1345927999999998E-2</v>
      </c>
      <c r="AF13" s="34">
        <f>IFERROR(MATCH($Z13,$R$9:$R$28,0),NA())</f>
        <v>13</v>
      </c>
      <c r="AG13" s="40">
        <f>AVERAGE(AF13,AD13,AB13)</f>
        <v>12.333333333333334</v>
      </c>
      <c r="AK13" s="7"/>
    </row>
    <row r="14" spans="1:37" x14ac:dyDescent="0.2">
      <c r="A14">
        <v>7</v>
      </c>
      <c r="B14" t="s">
        <v>8</v>
      </c>
      <c r="C14">
        <v>0.22888273000000001</v>
      </c>
      <c r="D14">
        <v>0.95</v>
      </c>
      <c r="E14">
        <v>8.9326359999999994E-2</v>
      </c>
      <c r="F14">
        <v>0.36966826600000002</v>
      </c>
      <c r="G14">
        <v>0.22888273000000001</v>
      </c>
      <c r="I14">
        <v>7</v>
      </c>
      <c r="J14" t="s">
        <v>2</v>
      </c>
      <c r="K14">
        <v>0.24838454700000001</v>
      </c>
      <c r="L14">
        <v>0.95</v>
      </c>
      <c r="M14">
        <v>0.19942763199999999</v>
      </c>
      <c r="N14">
        <v>0.29871726999999998</v>
      </c>
      <c r="O14">
        <v>0.24838454700000001</v>
      </c>
      <c r="Q14">
        <v>7</v>
      </c>
      <c r="R14" t="s">
        <v>9</v>
      </c>
      <c r="S14">
        <v>-0.18020407499999999</v>
      </c>
      <c r="T14">
        <v>0.95</v>
      </c>
      <c r="U14">
        <v>-0.240743913</v>
      </c>
      <c r="V14">
        <v>-0.11954115999999999</v>
      </c>
      <c r="W14">
        <v>0.18020407499999999</v>
      </c>
      <c r="Y14" s="45"/>
      <c r="Z14" s="7" t="s">
        <v>7</v>
      </c>
      <c r="AA14" s="33">
        <f>IFERROR(VLOOKUP($Z14,$B$8:$C$28,2,FALSE),NA())</f>
        <v>0.14187859</v>
      </c>
      <c r="AB14" s="34">
        <f>IFERROR(MATCH($Z14,$B$9:$B$28,0),NA())</f>
        <v>10</v>
      </c>
      <c r="AC14" s="33">
        <f>IFERROR(VLOOKUP($Z14,$J$8:$K$28,2,FALSE),NA())</f>
        <v>-0.14232760899999999</v>
      </c>
      <c r="AD14" s="34">
        <f>IFERROR(MATCH($Z14,$J$9:$J$28,0),NA())</f>
        <v>10</v>
      </c>
      <c r="AE14" s="36">
        <f>IFERROR(VLOOKUP($Z14,$R$8:$S$28,2,FALSE),NA())</f>
        <v>2.2513669E-2</v>
      </c>
      <c r="AF14" s="41">
        <f>IFERROR(MATCH($Z14,$R$9:$R$28,0),NA())</f>
        <v>19</v>
      </c>
      <c r="AG14" s="40">
        <f>AVERAGE(AF14,AD14,AB14)</f>
        <v>13</v>
      </c>
      <c r="AK14" s="7"/>
    </row>
    <row r="15" spans="1:37" x14ac:dyDescent="0.2">
      <c r="A15">
        <v>8</v>
      </c>
      <c r="B15" t="s">
        <v>4</v>
      </c>
      <c r="C15">
        <v>-0.21287331000000001</v>
      </c>
      <c r="D15">
        <v>0.95</v>
      </c>
      <c r="E15">
        <v>-0.25871728999999999</v>
      </c>
      <c r="F15">
        <v>-0.167129952</v>
      </c>
      <c r="G15">
        <v>0.21287331000000001</v>
      </c>
      <c r="I15">
        <v>8</v>
      </c>
      <c r="J15" t="s">
        <v>5</v>
      </c>
      <c r="K15">
        <v>0.16765865699999999</v>
      </c>
      <c r="L15">
        <v>0.95</v>
      </c>
      <c r="M15">
        <v>0.121028784</v>
      </c>
      <c r="N15">
        <v>0.21477879999999999</v>
      </c>
      <c r="O15">
        <v>0.16765865699999999</v>
      </c>
      <c r="Q15">
        <v>8</v>
      </c>
      <c r="R15" t="s">
        <v>28</v>
      </c>
      <c r="S15">
        <v>0.16812680499999999</v>
      </c>
      <c r="T15">
        <v>0.95</v>
      </c>
      <c r="U15">
        <v>0.11730925</v>
      </c>
      <c r="V15">
        <v>0.21958939999999999</v>
      </c>
      <c r="W15">
        <v>0.16812680499999999</v>
      </c>
      <c r="Y15" s="45"/>
      <c r="Z15" s="7" t="s">
        <v>6</v>
      </c>
      <c r="AA15" s="36">
        <f>IFERROR(VLOOKUP($Z15,$B$8:$C$28,2,FALSE),NA())</f>
        <v>-3.8966199999999999E-2</v>
      </c>
      <c r="AB15" s="41">
        <f>IFERROR(MATCH($Z15,$B$9:$B$28,0),NA())</f>
        <v>18</v>
      </c>
      <c r="AC15" s="33">
        <f>IFERROR(VLOOKUP($Z15,$J$8:$K$28,2,FALSE),NA())</f>
        <v>-0.107193301</v>
      </c>
      <c r="AD15" s="34">
        <f>IFERROR(MATCH($Z15,$J$9:$J$28,0),NA())</f>
        <v>13</v>
      </c>
      <c r="AE15" s="33">
        <f>IFERROR(VLOOKUP($Z15,$R$8:$S$28,2,FALSE),NA())</f>
        <v>-0.103723417</v>
      </c>
      <c r="AF15" s="34">
        <f>IFERROR(MATCH($Z15,$R$9:$R$28,0),NA())</f>
        <v>12</v>
      </c>
      <c r="AG15" s="40">
        <f>AVERAGE(AF15,AD15,AB15)</f>
        <v>14.333333333333334</v>
      </c>
      <c r="AK15" s="7"/>
    </row>
    <row r="16" spans="1:37" x14ac:dyDescent="0.2">
      <c r="A16">
        <v>9</v>
      </c>
      <c r="B16" t="s">
        <v>3</v>
      </c>
      <c r="C16">
        <v>-0.1825369</v>
      </c>
      <c r="D16">
        <v>0.95</v>
      </c>
      <c r="E16">
        <v>-0.22672357000000001</v>
      </c>
      <c r="F16">
        <v>-0.13843840199999999</v>
      </c>
      <c r="G16">
        <v>0.1825369</v>
      </c>
      <c r="I16">
        <v>9</v>
      </c>
      <c r="J16" t="s">
        <v>4</v>
      </c>
      <c r="K16">
        <v>-0.16214954600000001</v>
      </c>
      <c r="L16">
        <v>0.95</v>
      </c>
      <c r="M16">
        <v>-0.20541219499999999</v>
      </c>
      <c r="N16">
        <v>-0.11897228999999999</v>
      </c>
      <c r="O16">
        <v>0.16214954600000001</v>
      </c>
      <c r="Q16">
        <v>9</v>
      </c>
      <c r="R16" t="s">
        <v>0</v>
      </c>
      <c r="S16">
        <v>-0.16268429300000001</v>
      </c>
      <c r="T16">
        <v>0.95</v>
      </c>
      <c r="U16">
        <v>-0.20472521299999999</v>
      </c>
      <c r="V16">
        <v>-0.12050798</v>
      </c>
      <c r="W16">
        <v>0.16268429300000001</v>
      </c>
      <c r="Y16" s="45"/>
      <c r="Z16" s="7" t="s">
        <v>15</v>
      </c>
      <c r="AA16" s="33">
        <f>IFERROR(VLOOKUP($Z16,$B$8:$C$28,2,FALSE),NA())</f>
        <v>0.12894532</v>
      </c>
      <c r="AB16" s="34">
        <f>IFERROR(MATCH($Z16,$B$9:$B$28,0),NA())</f>
        <v>12</v>
      </c>
      <c r="AC16" s="36">
        <f>IFERROR(VLOOKUP($Z16,$J$8:$K$28,2,FALSE),NA())</f>
        <v>1.11523E-2</v>
      </c>
      <c r="AD16" s="41">
        <f>IFERROR(MATCH($Z16,$J$9:$J$28,0),NA())</f>
        <v>19</v>
      </c>
      <c r="AE16" s="33">
        <f>IFERROR(VLOOKUP($Z16,$R$8:$S$28,2,FALSE),NA())</f>
        <v>6.9417091E-2</v>
      </c>
      <c r="AF16" s="34">
        <f>IFERROR(MATCH($Z16,$R$9:$R$28,0),NA())</f>
        <v>14</v>
      </c>
      <c r="AG16" s="40">
        <f>AVERAGE(AF16,AD16,AB16)</f>
        <v>15</v>
      </c>
      <c r="AK16" s="7"/>
    </row>
    <row r="17" spans="1:37" x14ac:dyDescent="0.2">
      <c r="A17">
        <v>10</v>
      </c>
      <c r="B17" t="s">
        <v>14</v>
      </c>
      <c r="C17">
        <v>-0.17848924999999999</v>
      </c>
      <c r="D17">
        <v>0.95</v>
      </c>
      <c r="E17">
        <v>-0.27372774999999999</v>
      </c>
      <c r="F17">
        <v>-8.3489264999999993E-2</v>
      </c>
      <c r="G17">
        <v>0.17848924999999999</v>
      </c>
      <c r="I17">
        <v>10</v>
      </c>
      <c r="J17" t="s">
        <v>3</v>
      </c>
      <c r="K17">
        <v>-0.151421742</v>
      </c>
      <c r="L17">
        <v>0.95</v>
      </c>
      <c r="M17">
        <v>-0.19449300999999999</v>
      </c>
      <c r="N17">
        <v>-0.10860032999999999</v>
      </c>
      <c r="O17">
        <v>0.151421742</v>
      </c>
      <c r="Q17">
        <v>10</v>
      </c>
      <c r="R17" t="s">
        <v>3</v>
      </c>
      <c r="S17">
        <v>-0.15817969200000001</v>
      </c>
      <c r="T17">
        <v>0.95</v>
      </c>
      <c r="U17">
        <v>-0.20421853000000001</v>
      </c>
      <c r="V17">
        <v>-0.11213647</v>
      </c>
      <c r="W17">
        <v>0.15817969200000001</v>
      </c>
      <c r="Y17" s="45"/>
      <c r="Z17" s="7" t="s">
        <v>10</v>
      </c>
      <c r="AA17" s="36">
        <f>IFERROR(VLOOKUP($Z17,$B$8:$C$28,2,FALSE),NA())</f>
        <v>-1.538221E-2</v>
      </c>
      <c r="AB17" s="41">
        <f>IFERROR(MATCH($Z17,$B$9:$B$28,0),NA())</f>
        <v>19</v>
      </c>
      <c r="AC17" s="36">
        <f>IFERROR(VLOOKUP($Z17,$J$8:$K$28,2,FALSE),NA())</f>
        <v>4.1216282999999999E-2</v>
      </c>
      <c r="AD17" s="41">
        <f>IFERROR(MATCH($Z17,$J$9:$J$28,0),NA())</f>
        <v>17</v>
      </c>
      <c r="AE17" s="36">
        <f>IFERROR(VLOOKUP($Z17,$R$8:$S$28,2,FALSE),NA())</f>
        <v>3.0318543999999999E-2</v>
      </c>
      <c r="AF17" s="41">
        <f>IFERROR(MATCH($Z17,$R$9:$R$28,0),NA())</f>
        <v>17</v>
      </c>
      <c r="AG17" s="40">
        <f>AVERAGE(AF17,AD17,AB17)</f>
        <v>17.666666666666668</v>
      </c>
      <c r="AK17" s="7"/>
    </row>
    <row r="18" spans="1:37" x14ac:dyDescent="0.2">
      <c r="A18">
        <v>11</v>
      </c>
      <c r="B18" t="s">
        <v>7</v>
      </c>
      <c r="C18">
        <v>0.14187859</v>
      </c>
      <c r="D18">
        <v>0.95</v>
      </c>
      <c r="E18">
        <v>8.4161360000000004E-2</v>
      </c>
      <c r="F18">
        <v>0.19982404600000001</v>
      </c>
      <c r="G18">
        <v>0.14187859</v>
      </c>
      <c r="I18">
        <v>11</v>
      </c>
      <c r="J18" t="s">
        <v>7</v>
      </c>
      <c r="K18">
        <v>-0.14232760899999999</v>
      </c>
      <c r="L18">
        <v>0.95</v>
      </c>
      <c r="M18">
        <v>-0.19536914499999999</v>
      </c>
      <c r="N18">
        <v>-8.9349310000000001E-2</v>
      </c>
      <c r="O18">
        <v>0.14232760899999999</v>
      </c>
      <c r="Q18">
        <v>11</v>
      </c>
      <c r="R18" t="s">
        <v>13</v>
      </c>
      <c r="S18">
        <v>0.13072843000000001</v>
      </c>
      <c r="T18">
        <v>0.95</v>
      </c>
      <c r="U18">
        <v>6.2103924999999997E-2</v>
      </c>
      <c r="V18">
        <v>0.19984763</v>
      </c>
      <c r="W18">
        <v>0.13072843000000001</v>
      </c>
      <c r="Y18" s="45"/>
      <c r="Z18" s="7" t="s">
        <v>16</v>
      </c>
      <c r="AA18" s="33">
        <f>IFERROR(VLOOKUP($Z18,$B$8:$C$28,2,FALSE),NA())</f>
        <v>-0.27315663000000001</v>
      </c>
      <c r="AB18" s="34">
        <f>IFERROR(MATCH($Z18,$B$9:$B$28,0),NA())</f>
        <v>3</v>
      </c>
      <c r="AC18" s="33" t="e">
        <f>IFERROR(VLOOKUP($Z18,$J$8:$K$28,2,FALSE),NA())</f>
        <v>#N/A</v>
      </c>
      <c r="AD18" s="34" t="e">
        <f>IFERROR(MATCH($Z18,$J$9:$J$28,0),NA())</f>
        <v>#N/A</v>
      </c>
      <c r="AE18" s="33" t="e">
        <f>IFERROR(VLOOKUP($Z18,$R$8:$S$28,2,FALSE),NA())</f>
        <v>#N/A</v>
      </c>
      <c r="AF18" s="34" t="e">
        <f>IFERROR(MATCH($Z18,$R$9:$R$28,0),NA())</f>
        <v>#N/A</v>
      </c>
      <c r="AG18" s="40" t="e">
        <f>AVERAGE(AF18,AD18,AB18)</f>
        <v>#N/A</v>
      </c>
      <c r="AK18" s="7"/>
    </row>
    <row r="19" spans="1:37" s="7" customFormat="1" x14ac:dyDescent="0.2">
      <c r="A19" s="7">
        <v>12</v>
      </c>
      <c r="B19" s="7" t="s">
        <v>12</v>
      </c>
      <c r="C19" s="7">
        <v>0.13162080000000001</v>
      </c>
      <c r="D19" s="7">
        <v>0.95</v>
      </c>
      <c r="E19" s="7">
        <v>8.6818919999999994E-2</v>
      </c>
      <c r="F19" s="7">
        <v>0.176680156</v>
      </c>
      <c r="G19" s="7">
        <v>0.13162080000000001</v>
      </c>
      <c r="I19" s="7">
        <v>12</v>
      </c>
      <c r="J19" s="7" t="s">
        <v>8</v>
      </c>
      <c r="K19" s="7">
        <v>-0.137793363</v>
      </c>
      <c r="L19" s="7">
        <v>0.95</v>
      </c>
      <c r="M19" s="7">
        <v>-0.26072300399999998</v>
      </c>
      <c r="N19" s="7">
        <v>-1.515905E-2</v>
      </c>
      <c r="O19" s="7">
        <v>0.137793363</v>
      </c>
      <c r="Q19" s="7">
        <v>12</v>
      </c>
      <c r="R19" s="7" t="s">
        <v>39</v>
      </c>
      <c r="S19" s="7">
        <v>-0.11643369100000001</v>
      </c>
      <c r="T19" s="7">
        <v>0.95</v>
      </c>
      <c r="U19" s="7">
        <v>-0.162499859</v>
      </c>
      <c r="V19" s="7">
        <v>-7.0281930000000006E-2</v>
      </c>
      <c r="W19" s="7">
        <v>0.11643369100000001</v>
      </c>
      <c r="Y19" s="45"/>
      <c r="Z19" s="7" t="s">
        <v>8</v>
      </c>
      <c r="AA19" s="33">
        <f>IFERROR(VLOOKUP($Z19,$B$8:$C$28,2,FALSE),NA())</f>
        <v>0.22888273000000001</v>
      </c>
      <c r="AB19" s="34">
        <f>IFERROR(MATCH($Z19,$B$9:$B$28,0),NA())</f>
        <v>6</v>
      </c>
      <c r="AC19" s="33">
        <f>IFERROR(VLOOKUP($Z19,$J$8:$K$28,2,FALSE),NA())</f>
        <v>-0.137793363</v>
      </c>
      <c r="AD19" s="34">
        <f>IFERROR(MATCH($Z19,$J$9:$J$28,0),NA())</f>
        <v>11</v>
      </c>
      <c r="AE19" s="33" t="e">
        <f>IFERROR(VLOOKUP($Z19,$R$8:$S$28,2,FALSE),NA())</f>
        <v>#N/A</v>
      </c>
      <c r="AF19" s="34" t="e">
        <f>IFERROR(MATCH($Z19,$R$9:$R$28,0),NA())</f>
        <v>#N/A</v>
      </c>
      <c r="AG19" s="40" t="e">
        <f>AVERAGE(AF19,AD19,AB19)</f>
        <v>#N/A</v>
      </c>
    </row>
    <row r="20" spans="1:37" s="7" customFormat="1" x14ac:dyDescent="0.2">
      <c r="A20" s="7">
        <v>13</v>
      </c>
      <c r="B20" s="7" t="s">
        <v>15</v>
      </c>
      <c r="C20" s="7">
        <v>0.12894532</v>
      </c>
      <c r="D20" s="7">
        <v>0.95</v>
      </c>
      <c r="E20" s="7">
        <v>7.3562520000000006E-2</v>
      </c>
      <c r="F20" s="7">
        <v>0.18482952999999999</v>
      </c>
      <c r="G20" s="7">
        <v>0.12894532</v>
      </c>
      <c r="I20" s="7">
        <v>13</v>
      </c>
      <c r="J20" s="7" t="s">
        <v>31</v>
      </c>
      <c r="K20" s="7">
        <v>-0.120891982</v>
      </c>
      <c r="L20" s="7">
        <v>0.95</v>
      </c>
      <c r="M20" s="7">
        <v>-0.17629703299999999</v>
      </c>
      <c r="N20" s="7">
        <v>-6.5452839999999998E-2</v>
      </c>
      <c r="O20" s="7">
        <v>0.120891982</v>
      </c>
      <c r="Q20" s="7">
        <v>13</v>
      </c>
      <c r="R20" s="7" t="s">
        <v>6</v>
      </c>
      <c r="S20" s="7">
        <v>-0.103723417</v>
      </c>
      <c r="T20" s="7">
        <v>0.95</v>
      </c>
      <c r="U20" s="7">
        <v>-0.17445428599999999</v>
      </c>
      <c r="V20" s="7">
        <v>-3.2608819999999997E-2</v>
      </c>
      <c r="W20" s="7">
        <v>0.103723417</v>
      </c>
      <c r="Y20" s="45"/>
      <c r="Z20" s="7" t="s">
        <v>12</v>
      </c>
      <c r="AA20" s="33">
        <f>IFERROR(VLOOKUP($Z20,$B$8:$C$28,2,FALSE),NA())</f>
        <v>0.13162080000000001</v>
      </c>
      <c r="AB20" s="34">
        <f>IFERROR(MATCH($Z20,$B$9:$B$28,0),NA())</f>
        <v>11</v>
      </c>
      <c r="AC20" s="33">
        <f>IFERROR(VLOOKUP($Z20,$J$8:$K$28,2,FALSE),NA())</f>
        <v>0.332762532</v>
      </c>
      <c r="AD20" s="34">
        <f>IFERROR(MATCH($Z20,$J$9:$J$28,0),NA())</f>
        <v>2</v>
      </c>
      <c r="AE20" s="33" t="e">
        <f>IFERROR(VLOOKUP($Z20,$R$8:$S$28,2,FALSE),NA())</f>
        <v>#N/A</v>
      </c>
      <c r="AF20" s="34" t="e">
        <f>IFERROR(MATCH($Z20,$R$9:$R$28,0),NA())</f>
        <v>#N/A</v>
      </c>
      <c r="AG20" s="40" t="e">
        <f>AVERAGE(AF20,AD20,AB20)</f>
        <v>#N/A</v>
      </c>
    </row>
    <row r="21" spans="1:37" s="7" customFormat="1" x14ac:dyDescent="0.2">
      <c r="A21" s="7">
        <v>14</v>
      </c>
      <c r="B21" s="7" t="s">
        <v>5</v>
      </c>
      <c r="C21" s="7">
        <v>0.10767296</v>
      </c>
      <c r="D21" s="7">
        <v>0.95</v>
      </c>
      <c r="E21" s="7">
        <v>5.9001789999999998E-2</v>
      </c>
      <c r="F21" s="7">
        <v>0.157065026</v>
      </c>
      <c r="G21" s="7">
        <v>0.10767296</v>
      </c>
      <c r="I21" s="7">
        <v>14</v>
      </c>
      <c r="J21" s="7" t="s">
        <v>6</v>
      </c>
      <c r="K21" s="7">
        <v>-0.107193301</v>
      </c>
      <c r="L21" s="7">
        <v>0.95</v>
      </c>
      <c r="M21" s="7">
        <v>-0.17325583899999999</v>
      </c>
      <c r="N21" s="7">
        <v>-4.1261310000000002E-2</v>
      </c>
      <c r="O21" s="7">
        <v>0.107193301</v>
      </c>
      <c r="Q21" s="7">
        <v>14</v>
      </c>
      <c r="R21" s="7" t="s">
        <v>14</v>
      </c>
      <c r="S21" s="7">
        <v>-8.1345927999999998E-2</v>
      </c>
      <c r="T21" s="7">
        <v>0.95</v>
      </c>
      <c r="U21" s="7">
        <v>-0.14440694800000001</v>
      </c>
      <c r="V21" s="7">
        <v>-1.8028840000000001E-2</v>
      </c>
      <c r="W21" s="7">
        <v>8.1345927999999998E-2</v>
      </c>
      <c r="Y21" s="45"/>
      <c r="Z21" s="7" t="s">
        <v>35</v>
      </c>
      <c r="AA21" s="33">
        <f>IFERROR(VLOOKUP($Z21,$B$8:$C$28,2,FALSE),NA())</f>
        <v>-7.7708659999999999E-2</v>
      </c>
      <c r="AB21" s="34">
        <f>IFERROR(MATCH($Z21,$B$9:$B$28,0),NA())</f>
        <v>15</v>
      </c>
      <c r="AC21" s="33" t="e">
        <f>IFERROR(VLOOKUP($Z21,$J$8:$K$28,2,FALSE),NA())</f>
        <v>#N/A</v>
      </c>
      <c r="AD21" s="34" t="e">
        <f>IFERROR(MATCH($Z21,$J$9:$J$28,0),NA())</f>
        <v>#N/A</v>
      </c>
      <c r="AE21" s="33">
        <f>IFERROR(VLOOKUP($Z21,$R$8:$S$28,2,FALSE),NA())</f>
        <v>6.2212595000000002E-2</v>
      </c>
      <c r="AF21" s="34">
        <f>IFERROR(MATCH($Z21,$R$9:$R$28,0),NA())</f>
        <v>15</v>
      </c>
      <c r="AG21" s="40" t="e">
        <f>AVERAGE(AF21,AD21,AB21)</f>
        <v>#N/A</v>
      </c>
    </row>
    <row r="22" spans="1:37" s="7" customFormat="1" x14ac:dyDescent="0.2">
      <c r="A22" s="7">
        <v>15</v>
      </c>
      <c r="B22" s="7" t="s">
        <v>9</v>
      </c>
      <c r="C22" s="7">
        <v>8.9305599999999999E-2</v>
      </c>
      <c r="D22" s="7">
        <v>0.95</v>
      </c>
      <c r="E22" s="7">
        <v>1.339805E-2</v>
      </c>
      <c r="F22" s="7">
        <v>0.16548790099999999</v>
      </c>
      <c r="G22" s="7">
        <v>8.9305599999999999E-2</v>
      </c>
      <c r="I22" s="7">
        <v>15</v>
      </c>
      <c r="J22" s="7" t="s">
        <v>28</v>
      </c>
      <c r="K22" s="7">
        <v>0.100832803</v>
      </c>
      <c r="L22" s="7">
        <v>0.95</v>
      </c>
      <c r="M22" s="7">
        <v>5.5523224000000003E-2</v>
      </c>
      <c r="N22" s="7">
        <v>0.14654283000000001</v>
      </c>
      <c r="O22" s="7">
        <v>0.100832803</v>
      </c>
      <c r="Q22" s="7">
        <v>15</v>
      </c>
      <c r="R22" s="7" t="s">
        <v>15</v>
      </c>
      <c r="S22" s="7">
        <v>6.9417091E-2</v>
      </c>
      <c r="T22" s="7">
        <v>0.95</v>
      </c>
      <c r="U22" s="7">
        <v>3.42663E-3</v>
      </c>
      <c r="V22" s="7">
        <v>0.13586949000000001</v>
      </c>
      <c r="W22" s="7">
        <v>6.9417091E-2</v>
      </c>
      <c r="Y22" s="45"/>
      <c r="Z22" s="7" t="s">
        <v>23</v>
      </c>
      <c r="AA22" s="33">
        <f>IFERROR(VLOOKUP($Z22,$B$8:$C$28,2,FALSE),NA())</f>
        <v>-4.9196209999999997E-2</v>
      </c>
      <c r="AB22" s="34">
        <f>IFERROR(MATCH($Z22,$B$9:$B$28,0),NA())</f>
        <v>16</v>
      </c>
      <c r="AC22" s="33" t="e">
        <f>IFERROR(VLOOKUP($Z22,$J$8:$K$28,2,FALSE),NA())</f>
        <v>#N/A</v>
      </c>
      <c r="AD22" s="34" t="e">
        <f>IFERROR(MATCH($Z22,$J$9:$J$28,0),NA())</f>
        <v>#N/A</v>
      </c>
      <c r="AE22" s="33" t="e">
        <f>IFERROR(VLOOKUP($Z22,$R$8:$S$28,2,FALSE),NA())</f>
        <v>#N/A</v>
      </c>
      <c r="AF22" s="34" t="e">
        <f>IFERROR(MATCH($Z22,$R$9:$R$28,0),NA())</f>
        <v>#N/A</v>
      </c>
      <c r="AG22" s="40" t="e">
        <f>AVERAGE(AF22,AD22,AB22)</f>
        <v>#N/A</v>
      </c>
    </row>
    <row r="23" spans="1:37" s="7" customFormat="1" x14ac:dyDescent="0.2">
      <c r="A23" s="7">
        <v>16</v>
      </c>
      <c r="B23" s="7" t="s">
        <v>35</v>
      </c>
      <c r="C23" s="7">
        <v>-7.7708659999999999E-2</v>
      </c>
      <c r="D23" s="7">
        <v>0.95</v>
      </c>
      <c r="E23" s="7">
        <v>-0.12253855</v>
      </c>
      <c r="F23" s="7">
        <v>-3.2862939000000001E-2</v>
      </c>
      <c r="G23" s="7">
        <v>7.7708659999999999E-2</v>
      </c>
      <c r="I23" s="7">
        <v>16</v>
      </c>
      <c r="J23" s="7" t="s">
        <v>14</v>
      </c>
      <c r="K23" s="7">
        <v>-9.0600477999999998E-2</v>
      </c>
      <c r="L23" s="7">
        <v>0.95</v>
      </c>
      <c r="M23" s="7">
        <v>-0.165948067</v>
      </c>
      <c r="N23" s="7">
        <v>-1.5298529999999999E-2</v>
      </c>
      <c r="O23" s="7">
        <v>9.0600477999999998E-2</v>
      </c>
      <c r="Q23" s="7">
        <v>16</v>
      </c>
      <c r="R23" s="7" t="s">
        <v>35</v>
      </c>
      <c r="S23" s="7">
        <v>6.2212595000000002E-2</v>
      </c>
      <c r="T23" s="7">
        <v>0.95</v>
      </c>
      <c r="U23" s="7">
        <v>1.1691564999999999E-2</v>
      </c>
      <c r="V23" s="7">
        <v>0.11293836</v>
      </c>
      <c r="W23" s="7">
        <v>6.2212595000000002E-2</v>
      </c>
      <c r="Y23" s="45"/>
      <c r="Z23" s="7" t="s">
        <v>11</v>
      </c>
      <c r="AA23" s="36">
        <f>IFERROR(VLOOKUP($Z23,$B$8:$C$28,2,FALSE),NA())</f>
        <v>-3.9908730000000003E-2</v>
      </c>
      <c r="AB23" s="41">
        <f>IFERROR(MATCH($Z23,$B$9:$B$28,0),NA())</f>
        <v>17</v>
      </c>
      <c r="AC23" s="33" t="e">
        <f>IFERROR(VLOOKUP($Z23,$J$8:$K$28,2,FALSE),NA())</f>
        <v>#N/A</v>
      </c>
      <c r="AD23" s="34" t="e">
        <f>IFERROR(MATCH($Z23,$J$9:$J$28,0),NA())</f>
        <v>#N/A</v>
      </c>
      <c r="AE23" s="33" t="e">
        <f>IFERROR(VLOOKUP($Z23,$R$8:$S$28,2,FALSE),NA())</f>
        <v>#N/A</v>
      </c>
      <c r="AF23" s="34" t="e">
        <f>IFERROR(MATCH($Z23,$R$9:$R$28,0),NA())</f>
        <v>#N/A</v>
      </c>
      <c r="AG23" s="40" t="e">
        <f>AVERAGE(AF23,AD23,AB23)</f>
        <v>#N/A</v>
      </c>
    </row>
    <row r="24" spans="1:37" s="7" customFormat="1" x14ac:dyDescent="0.2">
      <c r="A24" s="7">
        <v>17</v>
      </c>
      <c r="B24" s="7" t="s">
        <v>23</v>
      </c>
      <c r="C24" s="7">
        <v>-4.9196209999999997E-2</v>
      </c>
      <c r="D24" s="7">
        <v>0.95</v>
      </c>
      <c r="E24" s="7">
        <v>-9.3451519999999996E-2</v>
      </c>
      <c r="F24" s="7">
        <v>-4.7560279999999998E-3</v>
      </c>
      <c r="G24" s="7">
        <v>4.9196209999999997E-2</v>
      </c>
      <c r="I24" s="6">
        <v>17</v>
      </c>
      <c r="J24" s="6" t="s">
        <v>40</v>
      </c>
      <c r="K24" s="6">
        <v>-4.5570060000000003E-2</v>
      </c>
      <c r="L24" s="6">
        <v>0.95</v>
      </c>
      <c r="M24" s="6">
        <v>-9.4127672999999995E-2</v>
      </c>
      <c r="N24" s="6">
        <v>2.9832600000000002E-3</v>
      </c>
      <c r="O24" s="6">
        <v>4.5570060000000003E-2</v>
      </c>
      <c r="Q24" s="6">
        <v>17</v>
      </c>
      <c r="R24" s="6" t="s">
        <v>17</v>
      </c>
      <c r="S24" s="6">
        <v>4.3409402999999999E-2</v>
      </c>
      <c r="T24" s="6">
        <v>0.95</v>
      </c>
      <c r="U24" s="6">
        <v>-3.0032769999999999E-3</v>
      </c>
      <c r="V24" s="6">
        <v>8.9834440000000002E-2</v>
      </c>
      <c r="W24" s="6">
        <v>4.3409402999999999E-2</v>
      </c>
      <c r="Y24" s="45"/>
      <c r="Z24" s="7" t="s">
        <v>17</v>
      </c>
      <c r="AA24" s="36">
        <f>IFERROR(VLOOKUP($Z24,$B$8:$C$28,2,FALSE),NA())</f>
        <v>-1.1428010000000001E-2</v>
      </c>
      <c r="AB24" s="41">
        <f>IFERROR(MATCH($Z24,$B$9:$B$28,0),NA())</f>
        <v>20</v>
      </c>
      <c r="AC24" s="33" t="e">
        <f>IFERROR(VLOOKUP($Z24,$J$8:$K$28,2,FALSE),NA())</f>
        <v>#N/A</v>
      </c>
      <c r="AD24" s="34" t="e">
        <f>IFERROR(MATCH($Z24,$J$9:$J$28,0),NA())</f>
        <v>#N/A</v>
      </c>
      <c r="AE24" s="36">
        <f>IFERROR(VLOOKUP($Z24,$R$8:$S$28,2,FALSE),NA())</f>
        <v>4.3409402999999999E-2</v>
      </c>
      <c r="AF24" s="41">
        <f>IFERROR(MATCH($Z24,$R$9:$R$28,0),NA())</f>
        <v>16</v>
      </c>
      <c r="AG24" s="40" t="e">
        <f>AVERAGE(AF24,AD24,AB24)</f>
        <v>#N/A</v>
      </c>
    </row>
    <row r="25" spans="1:37" s="7" customFormat="1" x14ac:dyDescent="0.2">
      <c r="A25" s="6">
        <v>18</v>
      </c>
      <c r="B25" s="6" t="s">
        <v>11</v>
      </c>
      <c r="C25" s="6">
        <v>-3.9908730000000003E-2</v>
      </c>
      <c r="D25" s="6">
        <v>0.95</v>
      </c>
      <c r="E25" s="6">
        <v>-8.908286E-2</v>
      </c>
      <c r="F25" s="6">
        <v>9.3708699999999999E-3</v>
      </c>
      <c r="G25" s="6">
        <v>3.9908730000000003E-2</v>
      </c>
      <c r="I25" s="6">
        <v>18</v>
      </c>
      <c r="J25" s="6" t="s">
        <v>10</v>
      </c>
      <c r="K25" s="6">
        <v>4.1216282999999999E-2</v>
      </c>
      <c r="L25" s="6">
        <v>0.95</v>
      </c>
      <c r="M25" s="6">
        <v>-1.3021409999999999E-3</v>
      </c>
      <c r="N25" s="6">
        <v>8.3889729999999996E-2</v>
      </c>
      <c r="O25" s="6">
        <v>4.1216282999999999E-2</v>
      </c>
      <c r="Q25" s="6">
        <v>18</v>
      </c>
      <c r="R25" s="6" t="s">
        <v>10</v>
      </c>
      <c r="S25" s="6">
        <v>3.0318543999999999E-2</v>
      </c>
      <c r="T25" s="6">
        <v>0.95</v>
      </c>
      <c r="U25" s="6">
        <v>-1.8124036999999999E-2</v>
      </c>
      <c r="V25" s="6">
        <v>7.9098920000000003E-2</v>
      </c>
      <c r="W25" s="6">
        <v>3.0318543999999999E-2</v>
      </c>
      <c r="Y25" s="45"/>
      <c r="Z25" s="7" t="s">
        <v>31</v>
      </c>
      <c r="AA25" s="33" t="e">
        <f>IFERROR(VLOOKUP($Z25,$B$8:$C$28,2,FALSE),NA())</f>
        <v>#N/A</v>
      </c>
      <c r="AB25" s="34" t="e">
        <f>IFERROR(MATCH($Z25,$B$9:$B$28,0),NA())</f>
        <v>#N/A</v>
      </c>
      <c r="AC25" s="33">
        <f>IFERROR(VLOOKUP($Z25,$J$8:$K$28,2,FALSE),NA())</f>
        <v>-0.120891982</v>
      </c>
      <c r="AD25" s="34">
        <f>IFERROR(MATCH($Z25,$J$9:$J$28,0),NA())</f>
        <v>12</v>
      </c>
      <c r="AE25" s="33" t="e">
        <f>IFERROR(VLOOKUP($Z25,$R$8:$S$28,2,FALSE),NA())</f>
        <v>#N/A</v>
      </c>
      <c r="AF25" s="34" t="e">
        <f>IFERROR(MATCH($Z25,$R$9:$R$28,0),NA())</f>
        <v>#N/A</v>
      </c>
      <c r="AG25" s="40" t="e">
        <f>AVERAGE(AF25,AD25,AB25)</f>
        <v>#N/A</v>
      </c>
    </row>
    <row r="26" spans="1:37" s="7" customFormat="1" x14ac:dyDescent="0.2">
      <c r="A26" s="6">
        <v>19</v>
      </c>
      <c r="B26" s="6" t="s">
        <v>6</v>
      </c>
      <c r="C26" s="6">
        <v>-3.8966199999999999E-2</v>
      </c>
      <c r="D26" s="6">
        <v>0.95</v>
      </c>
      <c r="E26" s="6">
        <v>-0.10667335</v>
      </c>
      <c r="F26" s="6">
        <v>2.9115485E-2</v>
      </c>
      <c r="G26" s="6">
        <v>3.8966199999999999E-2</v>
      </c>
      <c r="I26" s="6">
        <v>19</v>
      </c>
      <c r="J26" s="6" t="s">
        <v>21</v>
      </c>
      <c r="K26" s="6">
        <v>-3.1574429000000001E-2</v>
      </c>
      <c r="L26" s="6">
        <v>0.95</v>
      </c>
      <c r="M26" s="6">
        <v>-8.0466252000000002E-2</v>
      </c>
      <c r="N26" s="6">
        <v>1.733985E-2</v>
      </c>
      <c r="O26" s="6">
        <v>3.1574429000000001E-2</v>
      </c>
      <c r="Q26" s="6">
        <v>19</v>
      </c>
      <c r="R26" s="6" t="s">
        <v>24</v>
      </c>
      <c r="S26" s="6">
        <v>2.8875996000000001E-2</v>
      </c>
      <c r="T26" s="6">
        <v>0.95</v>
      </c>
      <c r="U26" s="6">
        <v>-1.8115553999999999E-2</v>
      </c>
      <c r="V26" s="6">
        <v>7.6376940000000004E-2</v>
      </c>
      <c r="W26" s="6">
        <v>2.8875996000000001E-2</v>
      </c>
      <c r="Y26" s="45"/>
      <c r="Z26" s="7" t="s">
        <v>28</v>
      </c>
      <c r="AA26" s="33" t="e">
        <f>IFERROR(VLOOKUP($Z26,$B$8:$C$28,2,FALSE),NA())</f>
        <v>#N/A</v>
      </c>
      <c r="AB26" s="34" t="e">
        <f>IFERROR(MATCH($Z26,$B$9:$B$28,0),NA())</f>
        <v>#N/A</v>
      </c>
      <c r="AC26" s="33">
        <f>IFERROR(VLOOKUP($Z26,$J$8:$K$28,2,FALSE),NA())</f>
        <v>0.100832803</v>
      </c>
      <c r="AD26" s="34">
        <f>IFERROR(MATCH($Z26,$J$9:$J$28,0),NA())</f>
        <v>14</v>
      </c>
      <c r="AE26" s="33">
        <f>IFERROR(VLOOKUP($Z26,$R$8:$S$28,2,FALSE),NA())</f>
        <v>0.16812680499999999</v>
      </c>
      <c r="AF26" s="34">
        <f>IFERROR(MATCH($Z26,$R$9:$R$28,0),NA())</f>
        <v>7</v>
      </c>
      <c r="AG26" s="40" t="e">
        <f>AVERAGE(AF26,AD26,AB26)</f>
        <v>#N/A</v>
      </c>
    </row>
    <row r="27" spans="1:37" s="7" customFormat="1" x14ac:dyDescent="0.2">
      <c r="A27" s="6">
        <v>20</v>
      </c>
      <c r="B27" s="6" t="s">
        <v>10</v>
      </c>
      <c r="C27" s="6">
        <v>-1.538221E-2</v>
      </c>
      <c r="D27" s="6">
        <v>0.95</v>
      </c>
      <c r="E27" s="6">
        <v>-6.0538960000000003E-2</v>
      </c>
      <c r="F27" s="6">
        <v>3.0019229000000001E-2</v>
      </c>
      <c r="G27" s="6">
        <v>1.538221E-2</v>
      </c>
      <c r="I27" s="6">
        <v>20</v>
      </c>
      <c r="J27" s="6" t="s">
        <v>15</v>
      </c>
      <c r="K27" s="6">
        <v>1.11523E-2</v>
      </c>
      <c r="L27" s="6">
        <v>0.95</v>
      </c>
      <c r="M27" s="6">
        <v>-5.6197459999999998E-2</v>
      </c>
      <c r="N27" s="6">
        <v>7.8560379999999999E-2</v>
      </c>
      <c r="O27" s="6">
        <v>1.11523E-2</v>
      </c>
      <c r="Q27" s="6">
        <v>20</v>
      </c>
      <c r="R27" s="6" t="s">
        <v>7</v>
      </c>
      <c r="S27" s="6">
        <v>2.2513669E-2</v>
      </c>
      <c r="T27" s="6">
        <v>0.95</v>
      </c>
      <c r="U27" s="6">
        <v>-3.1513975E-2</v>
      </c>
      <c r="V27" s="6">
        <v>7.6673710000000006E-2</v>
      </c>
      <c r="W27" s="6">
        <v>2.2513669E-2</v>
      </c>
      <c r="Y27" s="45"/>
      <c r="Z27" s="7" t="s">
        <v>40</v>
      </c>
      <c r="AA27" s="33" t="e">
        <f>IFERROR(VLOOKUP($Z27,$B$8:$C$28,2,FALSE),NA())</f>
        <v>#N/A</v>
      </c>
      <c r="AB27" s="34" t="e">
        <f>IFERROR(MATCH($Z27,$B$9:$B$28,0),NA())</f>
        <v>#N/A</v>
      </c>
      <c r="AC27" s="36">
        <f>IFERROR(VLOOKUP($Z27,$J$8:$K$28,2,FALSE),NA())</f>
        <v>-4.5570060000000003E-2</v>
      </c>
      <c r="AD27" s="41">
        <f>IFERROR(MATCH($Z27,$J$9:$J$28,0),NA())</f>
        <v>16</v>
      </c>
      <c r="AE27" s="33" t="e">
        <f>IFERROR(VLOOKUP($Z27,$R$8:$S$28,2,FALSE),NA())</f>
        <v>#N/A</v>
      </c>
      <c r="AF27" s="34" t="e">
        <f>IFERROR(MATCH($Z27,$R$9:$R$28,0),NA())</f>
        <v>#N/A</v>
      </c>
      <c r="AG27" s="40" t="e">
        <f>AVERAGE(AF27,AD27,AB27)</f>
        <v>#N/A</v>
      </c>
    </row>
    <row r="28" spans="1:37" s="7" customFormat="1" x14ac:dyDescent="0.2">
      <c r="A28" s="6">
        <v>21</v>
      </c>
      <c r="B28" s="6" t="s">
        <v>17</v>
      </c>
      <c r="C28" s="6">
        <v>-1.1428010000000001E-2</v>
      </c>
      <c r="D28" s="6">
        <v>0.95</v>
      </c>
      <c r="E28" s="6">
        <v>-5.8614769999999997E-2</v>
      </c>
      <c r="F28" s="6">
        <v>3.5759235E-2</v>
      </c>
      <c r="G28" s="6">
        <v>1.1428010000000001E-2</v>
      </c>
      <c r="I28" s="6">
        <v>21</v>
      </c>
      <c r="J28" s="6" t="s">
        <v>24</v>
      </c>
      <c r="K28" s="6">
        <v>-8.7540959999999994E-3</v>
      </c>
      <c r="L28" s="6">
        <v>0.95</v>
      </c>
      <c r="M28" s="6">
        <v>-5.0249237000000002E-2</v>
      </c>
      <c r="N28" s="6">
        <v>3.283374E-2</v>
      </c>
      <c r="O28" s="6">
        <v>8.7540959999999994E-3</v>
      </c>
      <c r="Q28" s="6">
        <v>21</v>
      </c>
      <c r="R28" s="6" t="s">
        <v>19</v>
      </c>
      <c r="S28" s="6">
        <v>9.6440540000000009E-3</v>
      </c>
      <c r="T28" s="6">
        <v>0.95</v>
      </c>
      <c r="U28" s="6">
        <v>-3.8024401999999999E-2</v>
      </c>
      <c r="V28" s="6">
        <v>5.8413930000000003E-2</v>
      </c>
      <c r="W28" s="6">
        <v>9.6440540000000009E-3</v>
      </c>
      <c r="Y28" s="45"/>
      <c r="Z28" s="7" t="s">
        <v>21</v>
      </c>
      <c r="AA28" s="33" t="e">
        <f>IFERROR(VLOOKUP($Z28,$B$8:$C$28,2,FALSE),NA())</f>
        <v>#N/A</v>
      </c>
      <c r="AB28" s="34" t="e">
        <f>IFERROR(MATCH($Z28,$B$9:$B$28,0),NA())</f>
        <v>#N/A</v>
      </c>
      <c r="AC28" s="36">
        <f>IFERROR(VLOOKUP($Z28,$J$8:$K$28,2,FALSE),NA())</f>
        <v>-3.1574429000000001E-2</v>
      </c>
      <c r="AD28" s="41">
        <f>IFERROR(MATCH($Z28,$J$9:$J$28,0),NA())</f>
        <v>18</v>
      </c>
      <c r="AE28" s="33">
        <f>IFERROR(VLOOKUP($Z28,$R$8:$S$28,2,FALSE),NA())</f>
        <v>0.209764856</v>
      </c>
      <c r="AF28" s="34">
        <f>IFERROR(MATCH($Z28,$R$9:$R$28,0),NA())</f>
        <v>4</v>
      </c>
      <c r="AG28" s="40" t="e">
        <f>AVERAGE(AF28,AD28,AB28)</f>
        <v>#N/A</v>
      </c>
    </row>
    <row r="29" spans="1:37" s="7" customFormat="1" x14ac:dyDescent="0.2">
      <c r="A29" s="7" t="s">
        <v>169</v>
      </c>
      <c r="I29" s="7" t="s">
        <v>169</v>
      </c>
      <c r="Q29" s="7" t="s">
        <v>169</v>
      </c>
      <c r="Y29" s="45"/>
      <c r="Z29" s="7" t="s">
        <v>24</v>
      </c>
      <c r="AA29" s="33" t="e">
        <f>IFERROR(VLOOKUP($Z29,$B$8:$C$28,2,FALSE),NA())</f>
        <v>#N/A</v>
      </c>
      <c r="AB29" s="34" t="e">
        <f>IFERROR(MATCH($Z29,$B$9:$B$28,0),NA())</f>
        <v>#N/A</v>
      </c>
      <c r="AC29" s="36">
        <f>IFERROR(VLOOKUP($Z29,$J$8:$K$28,2,FALSE),NA())</f>
        <v>-8.7540959999999994E-3</v>
      </c>
      <c r="AD29" s="41">
        <f>IFERROR(MATCH($Z29,$J$9:$J$28,0),NA())</f>
        <v>20</v>
      </c>
      <c r="AE29" s="36">
        <f>IFERROR(VLOOKUP($Z29,$R$8:$S$28,2,FALSE),NA())</f>
        <v>2.8875996000000001E-2</v>
      </c>
      <c r="AF29" s="41">
        <f>IFERROR(MATCH($Z29,$R$9:$R$28,0),NA())</f>
        <v>18</v>
      </c>
      <c r="AG29" s="40" t="e">
        <f>AVERAGE(AF29,AD29,AB29)</f>
        <v>#N/A</v>
      </c>
    </row>
    <row r="30" spans="1:37" s="7" customFormat="1" x14ac:dyDescent="0.2">
      <c r="Y30" s="45"/>
      <c r="Z30" s="7" t="s">
        <v>39</v>
      </c>
      <c r="AA30" s="33" t="e">
        <f>IFERROR(VLOOKUP($Z30,$B$8:$C$28,2,FALSE),NA())</f>
        <v>#N/A</v>
      </c>
      <c r="AB30" s="34" t="e">
        <f>IFERROR(MATCH($Z30,$B$9:$B$28,0),NA())</f>
        <v>#N/A</v>
      </c>
      <c r="AC30" s="33" t="e">
        <f>IFERROR(VLOOKUP($Z30,$J$8:$K$28,2,FALSE),NA())</f>
        <v>#N/A</v>
      </c>
      <c r="AD30" s="34" t="e">
        <f>IFERROR(MATCH($Z30,$J$9:$J$28,0),NA())</f>
        <v>#N/A</v>
      </c>
      <c r="AE30" s="33">
        <f>IFERROR(VLOOKUP($Z30,$R$8:$S$28,2,FALSE),NA())</f>
        <v>-0.11643369100000001</v>
      </c>
      <c r="AF30" s="34">
        <f>IFERROR(MATCH($Z30,$R$9:$R$28,0),NA())</f>
        <v>11</v>
      </c>
      <c r="AG30" s="40" t="e">
        <f>AVERAGE(AF30,AD30,AB30)</f>
        <v>#N/A</v>
      </c>
    </row>
    <row r="31" spans="1:37" s="7" customFormat="1" x14ac:dyDescent="0.2">
      <c r="Y31" s="45"/>
      <c r="Z31" s="7" t="s">
        <v>19</v>
      </c>
      <c r="AA31" s="33" t="e">
        <f>IFERROR(VLOOKUP($Z31,$B$8:$C$28,2,FALSE),NA())</f>
        <v>#N/A</v>
      </c>
      <c r="AB31" s="34" t="e">
        <f>IFERROR(MATCH($Z31,$B$9:$B$28,0),NA())</f>
        <v>#N/A</v>
      </c>
      <c r="AC31" s="33" t="e">
        <f>IFERROR(VLOOKUP($Z31,$J$8:$K$28,2,FALSE),NA())</f>
        <v>#N/A</v>
      </c>
      <c r="AD31" s="34" t="e">
        <f>IFERROR(MATCH($Z31,$J$9:$J$28,0),NA())</f>
        <v>#N/A</v>
      </c>
      <c r="AE31" s="36">
        <f>IFERROR(VLOOKUP($Z31,$R$8:$S$28,2,FALSE),NA())</f>
        <v>9.6440540000000009E-3</v>
      </c>
      <c r="AF31" s="41">
        <f>IFERROR(MATCH($Z31,$R$9:$R$28,0),NA())</f>
        <v>20</v>
      </c>
      <c r="AG31" s="40" t="e">
        <f>AVERAGE(AF31,AD31,AB31)</f>
        <v>#N/A</v>
      </c>
    </row>
    <row r="32" spans="1:37" s="7" customFormat="1" x14ac:dyDescent="0.2">
      <c r="Z32"/>
      <c r="AK32"/>
    </row>
    <row r="33" spans="1:37" s="7" customFormat="1" x14ac:dyDescent="0.2">
      <c r="Z33"/>
      <c r="AK33"/>
    </row>
    <row r="34" spans="1:37" s="10" customFormat="1" x14ac:dyDescent="0.2">
      <c r="A34" s="9" t="s">
        <v>189</v>
      </c>
    </row>
    <row r="35" spans="1:37" x14ac:dyDescent="0.2">
      <c r="A35" s="3" t="s">
        <v>83</v>
      </c>
      <c r="I35" s="3" t="s">
        <v>84</v>
      </c>
      <c r="Q35" s="3" t="s">
        <v>85</v>
      </c>
    </row>
    <row r="36" spans="1:37" s="7" customFormat="1" x14ac:dyDescent="0.2">
      <c r="A36" s="7" t="s">
        <v>75</v>
      </c>
      <c r="B36" s="28">
        <v>0.7016</v>
      </c>
      <c r="C36" s="28">
        <f>B36-B4</f>
        <v>-1.6000000000000014E-2</v>
      </c>
      <c r="I36" s="7" t="s">
        <v>75</v>
      </c>
      <c r="J36" s="28">
        <v>0.67410000000000003</v>
      </c>
      <c r="K36" s="28">
        <f>J36-J4</f>
        <v>-3.4200000000000008E-2</v>
      </c>
      <c r="Q36" s="7" t="s">
        <v>75</v>
      </c>
      <c r="R36" s="28">
        <v>0.68069999999999997</v>
      </c>
      <c r="S36" s="28">
        <f>R36-R4</f>
        <v>-9.6000000000000529E-3</v>
      </c>
      <c r="AA36" s="7" t="s">
        <v>223</v>
      </c>
      <c r="AF36" s="7" t="s">
        <v>224</v>
      </c>
      <c r="AK36"/>
    </row>
    <row r="37" spans="1:37" x14ac:dyDescent="0.2">
      <c r="AA37" t="s">
        <v>64</v>
      </c>
      <c r="AB37" t="s">
        <v>84</v>
      </c>
      <c r="AC37" t="s">
        <v>85</v>
      </c>
      <c r="AD37" s="7" t="s">
        <v>88</v>
      </c>
      <c r="AE37" s="7" t="s">
        <v>222</v>
      </c>
      <c r="AF37" t="s">
        <v>64</v>
      </c>
      <c r="AG37" t="s">
        <v>84</v>
      </c>
    </row>
    <row r="38" spans="1:37" x14ac:dyDescent="0.2">
      <c r="A38" s="3" t="s">
        <v>65</v>
      </c>
      <c r="B38" s="3" t="s">
        <v>154</v>
      </c>
      <c r="C38" s="3" t="s">
        <v>155</v>
      </c>
      <c r="D38" s="3" t="s">
        <v>71</v>
      </c>
      <c r="E38" s="3" t="s">
        <v>72</v>
      </c>
      <c r="F38" s="3" t="s">
        <v>73</v>
      </c>
      <c r="G38" s="3" t="s">
        <v>74</v>
      </c>
      <c r="I38" s="3" t="s">
        <v>65</v>
      </c>
      <c r="J38" s="3" t="s">
        <v>154</v>
      </c>
      <c r="K38" s="3" t="s">
        <v>155</v>
      </c>
      <c r="L38" s="3" t="s">
        <v>71</v>
      </c>
      <c r="M38" s="3" t="s">
        <v>72</v>
      </c>
      <c r="N38" s="3" t="s">
        <v>73</v>
      </c>
      <c r="O38" s="3" t="s">
        <v>74</v>
      </c>
      <c r="Q38" s="3" t="s">
        <v>65</v>
      </c>
      <c r="R38" s="3" t="s">
        <v>154</v>
      </c>
      <c r="S38" s="3" t="s">
        <v>155</v>
      </c>
      <c r="T38" s="3" t="s">
        <v>71</v>
      </c>
      <c r="U38" s="3" t="s">
        <v>72</v>
      </c>
      <c r="V38" s="3" t="s">
        <v>73</v>
      </c>
      <c r="W38" s="3" t="s">
        <v>74</v>
      </c>
      <c r="Z38" t="s">
        <v>0</v>
      </c>
      <c r="AA38" s="7">
        <f>MATCH($Z38,B$41:B$48,0)</f>
        <v>1</v>
      </c>
      <c r="AB38" s="7">
        <f>MATCH($Z38,J$41:J$48,0)</f>
        <v>1</v>
      </c>
      <c r="AC38" s="7">
        <f>MATCH($Z38,R$41:R$48,0)</f>
        <v>7</v>
      </c>
      <c r="AD38" s="17">
        <f>AVERAGE(AA38:AC38)</f>
        <v>3</v>
      </c>
      <c r="AE38">
        <v>2</v>
      </c>
      <c r="AF38" s="7">
        <f>VLOOKUP($Z38,$B$41:$C$48,2,FALSE)</f>
        <v>-0.54112154000000001</v>
      </c>
      <c r="AG38" s="7">
        <f>VLOOKUP($Z38,$J$41:$K$48,2,FALSE)</f>
        <v>-0.35957319999999998</v>
      </c>
    </row>
    <row r="39" spans="1:37" x14ac:dyDescent="0.2">
      <c r="Z39" t="s">
        <v>2</v>
      </c>
      <c r="AA39" s="7">
        <f>MATCH($Z39,B$41:B$48,0)</f>
        <v>2</v>
      </c>
      <c r="AB39" s="7">
        <f>MATCH($Z39,J$41:J$48,0)</f>
        <v>3</v>
      </c>
      <c r="AC39" s="7">
        <f>MATCH($Z39,R$41:R$48,0)</f>
        <v>2</v>
      </c>
      <c r="AD39" s="17">
        <f t="shared" ref="AD39:AD45" si="0">AVERAGE(AA39:AC39)</f>
        <v>2.3333333333333335</v>
      </c>
      <c r="AE39">
        <v>1</v>
      </c>
      <c r="AF39" s="7">
        <f>VLOOKUP($Z39,$B$41:$C$48,2,FALSE)</f>
        <v>0.42296834999999999</v>
      </c>
      <c r="AG39" s="7">
        <f>VLOOKUP($Z39,$J$41:$K$48,2,FALSE)</f>
        <v>0.2390381</v>
      </c>
    </row>
    <row r="40" spans="1:37" x14ac:dyDescent="0.2">
      <c r="A40">
        <v>1</v>
      </c>
      <c r="B40" t="s">
        <v>79</v>
      </c>
      <c r="C40">
        <v>0.96640797000000001</v>
      </c>
      <c r="D40">
        <v>0.95</v>
      </c>
      <c r="E40">
        <v>0.92374469000000003</v>
      </c>
      <c r="F40">
        <v>1.0094177900000001</v>
      </c>
      <c r="G40">
        <v>0.96640797000000001</v>
      </c>
      <c r="I40">
        <v>1</v>
      </c>
      <c r="J40" t="s">
        <v>79</v>
      </c>
      <c r="K40">
        <v>0.48993029999999999</v>
      </c>
      <c r="L40">
        <v>0.95</v>
      </c>
      <c r="M40">
        <v>0.45136598</v>
      </c>
      <c r="N40">
        <v>0.52863970000000005</v>
      </c>
      <c r="O40">
        <v>0.48993029999999999</v>
      </c>
      <c r="Q40">
        <v>1</v>
      </c>
      <c r="R40" t="s">
        <v>79</v>
      </c>
      <c r="S40">
        <v>1.1855099</v>
      </c>
      <c r="T40">
        <v>0.95</v>
      </c>
      <c r="U40">
        <v>1.1411045</v>
      </c>
      <c r="V40">
        <v>1.2303767000000001</v>
      </c>
      <c r="W40">
        <v>1.1855099</v>
      </c>
      <c r="Z40" t="s">
        <v>1</v>
      </c>
      <c r="AA40" s="7">
        <f>MATCH($Z40,B$41:B$48,0)</f>
        <v>3</v>
      </c>
      <c r="AB40" s="7">
        <f>MATCH($Z40,J$41:J$48,0)</f>
        <v>5</v>
      </c>
      <c r="AC40" s="7">
        <f>MATCH($Z40,R$41:R$48,0)</f>
        <v>3</v>
      </c>
      <c r="AD40" s="17">
        <f t="shared" si="0"/>
        <v>3.6666666666666665</v>
      </c>
      <c r="AE40">
        <v>3</v>
      </c>
      <c r="AF40" s="7">
        <f>VLOOKUP($Z40,$B$41:$C$48,2,FALSE)</f>
        <v>0.18532498</v>
      </c>
      <c r="AG40" s="7">
        <f>VLOOKUP($Z40,$J$41:$K$48,2,FALSE)</f>
        <v>0.19495580000000001</v>
      </c>
    </row>
    <row r="41" spans="1:37" x14ac:dyDescent="0.2">
      <c r="A41">
        <v>2</v>
      </c>
      <c r="B41" t="s">
        <v>0</v>
      </c>
      <c r="C41">
        <v>-0.54112154000000001</v>
      </c>
      <c r="D41">
        <v>0.95</v>
      </c>
      <c r="E41">
        <v>-0.58311833999999996</v>
      </c>
      <c r="F41">
        <v>-0.49958618999999999</v>
      </c>
      <c r="G41">
        <v>0.54112154000000001</v>
      </c>
      <c r="I41">
        <v>2</v>
      </c>
      <c r="J41" t="s">
        <v>0</v>
      </c>
      <c r="K41">
        <v>-0.35957319999999998</v>
      </c>
      <c r="L41">
        <v>0.95</v>
      </c>
      <c r="M41">
        <v>-0.39846105999999998</v>
      </c>
      <c r="N41">
        <v>-0.32095050000000003</v>
      </c>
      <c r="O41">
        <v>0.35957319999999998</v>
      </c>
      <c r="Q41">
        <v>2</v>
      </c>
      <c r="R41" t="s">
        <v>5</v>
      </c>
      <c r="S41">
        <v>0.35114489999999998</v>
      </c>
      <c r="T41">
        <v>0.95</v>
      </c>
      <c r="U41">
        <v>0.29866969999999998</v>
      </c>
      <c r="V41">
        <v>0.40457090000000001</v>
      </c>
      <c r="W41">
        <v>0.35114489999999998</v>
      </c>
      <c r="Z41" t="s">
        <v>3</v>
      </c>
      <c r="AA41" s="7">
        <f>MATCH($Z41,B$41:B$48,0)</f>
        <v>4</v>
      </c>
      <c r="AB41" s="7">
        <f>MATCH($Z41,J$41:J$48,0)</f>
        <v>4</v>
      </c>
      <c r="AC41" s="7">
        <f>MATCH($Z41,R$41:R$48,0)</f>
        <v>4</v>
      </c>
      <c r="AD41" s="17">
        <f t="shared" si="0"/>
        <v>4</v>
      </c>
      <c r="AE41">
        <v>4</v>
      </c>
      <c r="AF41" s="7">
        <f>VLOOKUP($Z41,$B$41:$C$48,2,FALSE)</f>
        <v>-0.18410940000000001</v>
      </c>
      <c r="AG41" s="7">
        <f>VLOOKUP($Z41,$J$41:$K$48,2,FALSE)</f>
        <v>-0.20869579999999999</v>
      </c>
    </row>
    <row r="42" spans="1:37" x14ac:dyDescent="0.2">
      <c r="A42">
        <v>3</v>
      </c>
      <c r="B42" t="s">
        <v>2</v>
      </c>
      <c r="C42">
        <v>0.42296834999999999</v>
      </c>
      <c r="D42">
        <v>0.95</v>
      </c>
      <c r="E42">
        <v>0.36915414000000002</v>
      </c>
      <c r="F42">
        <v>0.47791958000000001</v>
      </c>
      <c r="G42">
        <v>0.42296834999999999</v>
      </c>
      <c r="I42">
        <v>3</v>
      </c>
      <c r="J42" t="s">
        <v>9</v>
      </c>
      <c r="K42">
        <v>-0.31703710000000002</v>
      </c>
      <c r="L42">
        <v>0.95</v>
      </c>
      <c r="M42">
        <v>-0.36331723999999999</v>
      </c>
      <c r="N42">
        <v>-0.2708971</v>
      </c>
      <c r="O42">
        <v>0.31703710000000002</v>
      </c>
      <c r="Q42">
        <v>3</v>
      </c>
      <c r="R42" t="s">
        <v>2</v>
      </c>
      <c r="S42">
        <v>0.31750850000000003</v>
      </c>
      <c r="T42">
        <v>0.95</v>
      </c>
      <c r="U42">
        <v>0.25923689999999999</v>
      </c>
      <c r="V42">
        <v>0.37743369999999998</v>
      </c>
      <c r="W42">
        <v>0.31750850000000003</v>
      </c>
      <c r="Z42" t="s">
        <v>4</v>
      </c>
      <c r="AA42" s="7">
        <f>MATCH($Z42,B$41:B$48,0)</f>
        <v>5</v>
      </c>
      <c r="AB42" s="7">
        <f>MATCH($Z42,J$41:J$48,0)</f>
        <v>6</v>
      </c>
      <c r="AC42" s="7">
        <f>MATCH($Z42,R$41:R$48,0)</f>
        <v>5</v>
      </c>
      <c r="AD42" s="17">
        <f t="shared" si="0"/>
        <v>5.333333333333333</v>
      </c>
      <c r="AE42">
        <v>7</v>
      </c>
      <c r="AF42" s="7">
        <f>VLOOKUP($Z42,$B$41:$C$48,2,FALSE)</f>
        <v>-0.17884088000000001</v>
      </c>
      <c r="AG42" s="7">
        <f>VLOOKUP($Z42,$J$41:$K$48,2,FALSE)</f>
        <v>-0.16392999999999999</v>
      </c>
    </row>
    <row r="43" spans="1:37" x14ac:dyDescent="0.2">
      <c r="A43">
        <v>4</v>
      </c>
      <c r="B43" t="s">
        <v>1</v>
      </c>
      <c r="C43">
        <v>0.18532498</v>
      </c>
      <c r="D43">
        <v>0.95</v>
      </c>
      <c r="E43">
        <v>0.13915262</v>
      </c>
      <c r="F43">
        <v>0.23181980999999999</v>
      </c>
      <c r="G43">
        <v>0.18532498</v>
      </c>
      <c r="I43">
        <v>4</v>
      </c>
      <c r="J43" t="s">
        <v>2</v>
      </c>
      <c r="K43">
        <v>0.2390381</v>
      </c>
      <c r="L43">
        <v>0.95</v>
      </c>
      <c r="M43">
        <v>0.19254608000000001</v>
      </c>
      <c r="N43">
        <v>0.28697260000000002</v>
      </c>
      <c r="O43">
        <v>0.2390381</v>
      </c>
      <c r="Q43">
        <v>4</v>
      </c>
      <c r="R43" t="s">
        <v>1</v>
      </c>
      <c r="S43">
        <v>0.2213562</v>
      </c>
      <c r="T43">
        <v>0.95</v>
      </c>
      <c r="U43">
        <v>0.1729357</v>
      </c>
      <c r="V43">
        <v>0.27005699999999999</v>
      </c>
      <c r="W43">
        <v>0.2213562</v>
      </c>
      <c r="Z43" t="s">
        <v>5</v>
      </c>
      <c r="AA43" s="7">
        <f>MATCH($Z43,B$41:B$48,0)</f>
        <v>6</v>
      </c>
      <c r="AB43" s="7">
        <f>MATCH($Z43,J$41:J$48,0)</f>
        <v>7</v>
      </c>
      <c r="AC43" s="7">
        <f>MATCH($Z43,R$41:R$48,0)</f>
        <v>1</v>
      </c>
      <c r="AD43" s="17">
        <f t="shared" si="0"/>
        <v>4.666666666666667</v>
      </c>
      <c r="AE43">
        <v>5</v>
      </c>
      <c r="AF43" s="7">
        <f>VLOOKUP($Z43,$B$41:$C$48,2,FALSE)</f>
        <v>0.15327387000000001</v>
      </c>
      <c r="AG43" s="7">
        <f>VLOOKUP($Z43,$J$41:$K$48,2,FALSE)</f>
        <v>0.1353287</v>
      </c>
    </row>
    <row r="44" spans="1:37" x14ac:dyDescent="0.2">
      <c r="A44">
        <v>5</v>
      </c>
      <c r="B44" t="s">
        <v>3</v>
      </c>
      <c r="C44">
        <v>-0.18410940000000001</v>
      </c>
      <c r="D44">
        <v>0.95</v>
      </c>
      <c r="E44">
        <v>-0.22415669999999999</v>
      </c>
      <c r="F44">
        <v>-0.14410616000000001</v>
      </c>
      <c r="G44">
        <v>0.18410940000000001</v>
      </c>
      <c r="I44">
        <v>5</v>
      </c>
      <c r="J44" t="s">
        <v>3</v>
      </c>
      <c r="K44">
        <v>-0.20869579999999999</v>
      </c>
      <c r="L44">
        <v>0.95</v>
      </c>
      <c r="M44">
        <v>-0.2479867</v>
      </c>
      <c r="N44">
        <v>-0.1696908</v>
      </c>
      <c r="O44">
        <v>0.20869579999999999</v>
      </c>
      <c r="Q44">
        <v>5</v>
      </c>
      <c r="R44" t="s">
        <v>3</v>
      </c>
      <c r="S44">
        <v>-0.2112753</v>
      </c>
      <c r="T44">
        <v>0.95</v>
      </c>
      <c r="U44">
        <v>-0.25232719999999997</v>
      </c>
      <c r="V44">
        <v>-0.17023969999999999</v>
      </c>
      <c r="W44">
        <v>0.2112753</v>
      </c>
      <c r="Z44" t="s">
        <v>9</v>
      </c>
      <c r="AA44" s="7">
        <f>MATCH($Z44,B$41:B$48,0)</f>
        <v>7</v>
      </c>
      <c r="AB44" s="7">
        <f>MATCH($Z44,J$41:J$48,0)</f>
        <v>2</v>
      </c>
      <c r="AC44" s="7">
        <f>MATCH($Z44,R$41:R$48,0)</f>
        <v>6</v>
      </c>
      <c r="AD44" s="17">
        <f t="shared" si="0"/>
        <v>5</v>
      </c>
      <c r="AE44">
        <v>6</v>
      </c>
      <c r="AF44" s="7">
        <f>VLOOKUP($Z44,$B$41:$C$48,2,FALSE)</f>
        <v>-0.13587879</v>
      </c>
      <c r="AG44" s="7">
        <f>VLOOKUP($Z44,$J$41:$K$48,2,FALSE)</f>
        <v>-0.31703710000000002</v>
      </c>
    </row>
    <row r="45" spans="1:37" x14ac:dyDescent="0.2">
      <c r="A45">
        <v>6</v>
      </c>
      <c r="B45" t="s">
        <v>4</v>
      </c>
      <c r="C45">
        <v>-0.17884088000000001</v>
      </c>
      <c r="D45">
        <v>0.95</v>
      </c>
      <c r="E45">
        <v>-0.22180021</v>
      </c>
      <c r="F45">
        <v>-0.13596771999999999</v>
      </c>
      <c r="G45">
        <v>0.17884088000000001</v>
      </c>
      <c r="I45">
        <v>6</v>
      </c>
      <c r="J45" t="s">
        <v>1</v>
      </c>
      <c r="K45">
        <v>0.19495580000000001</v>
      </c>
      <c r="L45">
        <v>0.95</v>
      </c>
      <c r="M45">
        <v>0.14777038000000001</v>
      </c>
      <c r="N45">
        <v>0.24247060000000001</v>
      </c>
      <c r="O45">
        <v>0.19495580000000001</v>
      </c>
      <c r="Q45">
        <v>6</v>
      </c>
      <c r="R45" t="s">
        <v>4</v>
      </c>
      <c r="S45">
        <v>-0.20119210000000001</v>
      </c>
      <c r="T45">
        <v>0.95</v>
      </c>
      <c r="U45">
        <v>-0.2438466</v>
      </c>
      <c r="V45">
        <v>-0.15860369999999999</v>
      </c>
      <c r="W45">
        <v>0.20119210000000001</v>
      </c>
      <c r="Z45" t="s">
        <v>13</v>
      </c>
      <c r="AA45" s="7">
        <f>MATCH($Z45,B$41:B$48,0)</f>
        <v>8</v>
      </c>
      <c r="AB45" s="7">
        <f>MATCH($Z45,J$41:J$48,0)</f>
        <v>8</v>
      </c>
      <c r="AC45" s="7">
        <f>MATCH($Z45,R$41:R$48,0)</f>
        <v>8</v>
      </c>
      <c r="AD45" s="17">
        <f t="shared" si="0"/>
        <v>8</v>
      </c>
      <c r="AE45">
        <v>8</v>
      </c>
      <c r="AF45" s="7">
        <f>VLOOKUP($Z45,$B$41:$C$48,2,FALSE)</f>
        <v>8.7366780000000005E-2</v>
      </c>
      <c r="AG45" s="7">
        <f>VLOOKUP($Z45,$J$41:$K$48,2,FALSE)</f>
        <v>0.1151471</v>
      </c>
    </row>
    <row r="46" spans="1:37" x14ac:dyDescent="0.2">
      <c r="A46">
        <v>7</v>
      </c>
      <c r="B46" t="s">
        <v>5</v>
      </c>
      <c r="C46">
        <v>0.15327387000000001</v>
      </c>
      <c r="D46">
        <v>0.95</v>
      </c>
      <c r="E46">
        <v>0.10778641</v>
      </c>
      <c r="F46">
        <v>0.19950651999999999</v>
      </c>
      <c r="G46">
        <v>0.15327387000000001</v>
      </c>
      <c r="I46">
        <v>7</v>
      </c>
      <c r="J46" t="s">
        <v>4</v>
      </c>
      <c r="K46">
        <v>-0.16392999999999999</v>
      </c>
      <c r="L46">
        <v>0.95</v>
      </c>
      <c r="M46">
        <v>-0.20392312000000001</v>
      </c>
      <c r="N46">
        <v>-0.12402729999999999</v>
      </c>
      <c r="O46">
        <v>0.16392999999999999</v>
      </c>
      <c r="Q46">
        <v>7</v>
      </c>
      <c r="R46" t="s">
        <v>9</v>
      </c>
      <c r="S46">
        <v>-0.19352759999999999</v>
      </c>
      <c r="T46">
        <v>0.95</v>
      </c>
      <c r="U46">
        <v>-0.24094370000000001</v>
      </c>
      <c r="V46">
        <v>-0.146034</v>
      </c>
      <c r="W46">
        <v>0.19352759999999999</v>
      </c>
    </row>
    <row r="47" spans="1:37" x14ac:dyDescent="0.2">
      <c r="A47">
        <v>8</v>
      </c>
      <c r="B47" t="s">
        <v>9</v>
      </c>
      <c r="C47">
        <v>-0.13587879</v>
      </c>
      <c r="D47">
        <v>0.95</v>
      </c>
      <c r="E47">
        <v>-0.18146285000000001</v>
      </c>
      <c r="F47">
        <v>-9.0247839999999996E-2</v>
      </c>
      <c r="G47">
        <v>0.13587879</v>
      </c>
      <c r="I47">
        <v>8</v>
      </c>
      <c r="J47" t="s">
        <v>5</v>
      </c>
      <c r="K47">
        <v>0.1353287</v>
      </c>
      <c r="L47">
        <v>0.95</v>
      </c>
      <c r="M47">
        <v>9.4077900000000006E-2</v>
      </c>
      <c r="N47">
        <v>0.1770342</v>
      </c>
      <c r="O47">
        <v>0.1353287</v>
      </c>
      <c r="Q47">
        <v>8</v>
      </c>
      <c r="R47" t="s">
        <v>0</v>
      </c>
      <c r="S47">
        <v>-0.17200799999999999</v>
      </c>
      <c r="T47">
        <v>0.95</v>
      </c>
      <c r="U47">
        <v>-0.21266450000000001</v>
      </c>
      <c r="V47">
        <v>-0.13121389999999999</v>
      </c>
      <c r="W47">
        <v>0.17200799999999999</v>
      </c>
    </row>
    <row r="48" spans="1:37" x14ac:dyDescent="0.2">
      <c r="A48">
        <v>9</v>
      </c>
      <c r="B48" t="s">
        <v>13</v>
      </c>
      <c r="C48">
        <v>8.7366780000000005E-2</v>
      </c>
      <c r="D48">
        <v>0.95</v>
      </c>
      <c r="E48">
        <v>4.4618890000000001E-2</v>
      </c>
      <c r="F48">
        <v>0.13022510000000001</v>
      </c>
      <c r="G48">
        <v>8.7366780000000005E-2</v>
      </c>
      <c r="I48">
        <v>9</v>
      </c>
      <c r="J48" t="s">
        <v>13</v>
      </c>
      <c r="K48">
        <v>0.1151471</v>
      </c>
      <c r="L48">
        <v>0.95</v>
      </c>
      <c r="M48">
        <v>7.1336650000000001E-2</v>
      </c>
      <c r="N48">
        <v>0.15902250000000001</v>
      </c>
      <c r="O48">
        <v>0.1151471</v>
      </c>
      <c r="Q48">
        <v>9</v>
      </c>
      <c r="R48" t="s">
        <v>13</v>
      </c>
      <c r="S48">
        <v>0.17046639999999999</v>
      </c>
      <c r="T48">
        <v>0.95</v>
      </c>
      <c r="U48">
        <v>0.12549089999999999</v>
      </c>
      <c r="V48">
        <v>0.21583649999999999</v>
      </c>
      <c r="W48">
        <v>0.17046639999999999</v>
      </c>
    </row>
    <row r="49" spans="1:37" x14ac:dyDescent="0.2">
      <c r="A49" t="s">
        <v>159</v>
      </c>
      <c r="I49" t="s">
        <v>159</v>
      </c>
      <c r="Q49" t="s">
        <v>159</v>
      </c>
    </row>
    <row r="52" spans="1:37" s="10" customFormat="1" x14ac:dyDescent="0.2">
      <c r="A52" s="9" t="s">
        <v>190</v>
      </c>
      <c r="AK52"/>
    </row>
    <row r="54" spans="1:37" x14ac:dyDescent="0.2">
      <c r="A54" t="s">
        <v>75</v>
      </c>
      <c r="B54" s="4">
        <v>0.68969999999999998</v>
      </c>
    </row>
    <row r="56" spans="1:37" x14ac:dyDescent="0.2">
      <c r="B56" t="s">
        <v>154</v>
      </c>
      <c r="C56" t="s">
        <v>155</v>
      </c>
      <c r="D56" t="s">
        <v>71</v>
      </c>
      <c r="E56" t="s">
        <v>72</v>
      </c>
      <c r="F56" t="s">
        <v>73</v>
      </c>
      <c r="G56" t="s">
        <v>74</v>
      </c>
    </row>
    <row r="58" spans="1:37" x14ac:dyDescent="0.2">
      <c r="A58">
        <v>1</v>
      </c>
      <c r="B58" t="s">
        <v>79</v>
      </c>
      <c r="C58">
        <v>0.87636822000000003</v>
      </c>
      <c r="D58">
        <v>0.95</v>
      </c>
      <c r="E58">
        <v>0.85235150999999998</v>
      </c>
      <c r="F58">
        <v>0.90048830000000002</v>
      </c>
      <c r="G58">
        <v>0.87636822000000003</v>
      </c>
    </row>
    <row r="59" spans="1:37" x14ac:dyDescent="0.2">
      <c r="A59">
        <v>2</v>
      </c>
      <c r="B59" t="s">
        <v>2</v>
      </c>
      <c r="C59">
        <v>0.38593606000000003</v>
      </c>
      <c r="D59">
        <v>0.95</v>
      </c>
      <c r="E59">
        <v>0.35480738000000001</v>
      </c>
      <c r="F59">
        <v>0.41754910000000001</v>
      </c>
      <c r="G59">
        <v>0.38593606000000003</v>
      </c>
    </row>
    <row r="60" spans="1:37" x14ac:dyDescent="0.2">
      <c r="A60">
        <v>3</v>
      </c>
      <c r="B60" t="s">
        <v>0</v>
      </c>
      <c r="C60">
        <v>-0.37146314000000002</v>
      </c>
      <c r="D60">
        <v>0.95</v>
      </c>
      <c r="E60">
        <v>-0.39465180999999999</v>
      </c>
      <c r="F60">
        <v>-0.34839219999999999</v>
      </c>
      <c r="G60">
        <v>0.37146314000000002</v>
      </c>
    </row>
    <row r="61" spans="1:37" x14ac:dyDescent="0.2">
      <c r="A61">
        <v>4</v>
      </c>
      <c r="B61" t="s">
        <v>1</v>
      </c>
      <c r="C61">
        <v>0.25445429000000003</v>
      </c>
      <c r="D61">
        <v>0.95</v>
      </c>
      <c r="E61">
        <v>0.22608987</v>
      </c>
      <c r="F61">
        <v>0.28293269999999998</v>
      </c>
      <c r="G61">
        <v>0.25445429000000003</v>
      </c>
    </row>
    <row r="62" spans="1:37" x14ac:dyDescent="0.2">
      <c r="A62">
        <v>5</v>
      </c>
      <c r="B62" t="s">
        <v>9</v>
      </c>
      <c r="C62">
        <v>-0.22415573999999999</v>
      </c>
      <c r="D62">
        <v>0.95</v>
      </c>
      <c r="E62">
        <v>-0.25082863</v>
      </c>
      <c r="F62">
        <v>-0.19749439999999999</v>
      </c>
      <c r="G62">
        <v>0.22415573999999999</v>
      </c>
    </row>
    <row r="63" spans="1:37" x14ac:dyDescent="0.2">
      <c r="A63">
        <v>6</v>
      </c>
      <c r="B63" t="s">
        <v>5</v>
      </c>
      <c r="C63">
        <v>0.21649931</v>
      </c>
      <c r="D63">
        <v>0.95</v>
      </c>
      <c r="E63">
        <v>0.18996551</v>
      </c>
      <c r="F63">
        <v>0.24327869999999999</v>
      </c>
      <c r="G63">
        <v>0.21649931</v>
      </c>
    </row>
    <row r="64" spans="1:37" x14ac:dyDescent="0.2">
      <c r="A64">
        <v>7</v>
      </c>
      <c r="B64" t="s">
        <v>3</v>
      </c>
      <c r="C64">
        <v>-0.20089641999999999</v>
      </c>
      <c r="D64">
        <v>0.95</v>
      </c>
      <c r="E64">
        <v>-0.22382599</v>
      </c>
      <c r="F64">
        <v>-0.17801030000000001</v>
      </c>
      <c r="G64">
        <v>0.20089641999999999</v>
      </c>
    </row>
    <row r="65" spans="1:15" x14ac:dyDescent="0.2">
      <c r="A65">
        <v>8</v>
      </c>
      <c r="B65" t="s">
        <v>4</v>
      </c>
      <c r="C65">
        <v>-0.17720227</v>
      </c>
      <c r="D65">
        <v>0.95</v>
      </c>
      <c r="E65">
        <v>-0.20158150999999999</v>
      </c>
      <c r="F65">
        <v>-0.1528409</v>
      </c>
      <c r="G65">
        <v>0.17720227</v>
      </c>
    </row>
    <row r="66" spans="1:15" x14ac:dyDescent="0.2">
      <c r="A66">
        <v>9</v>
      </c>
      <c r="B66" t="s">
        <v>13</v>
      </c>
      <c r="C66">
        <v>8.2280679999999995E-2</v>
      </c>
      <c r="D66">
        <v>0.95</v>
      </c>
      <c r="E66">
        <v>5.6549240000000001E-2</v>
      </c>
      <c r="F66">
        <v>0.10804759999999999</v>
      </c>
      <c r="G66">
        <v>8.2280679999999995E-2</v>
      </c>
    </row>
    <row r="67" spans="1:15" x14ac:dyDescent="0.2">
      <c r="A67" t="s">
        <v>159</v>
      </c>
    </row>
    <row r="70" spans="1:15" s="10" customFormat="1" x14ac:dyDescent="0.2">
      <c r="A70" s="9" t="s">
        <v>215</v>
      </c>
    </row>
    <row r="72" spans="1:15" x14ac:dyDescent="0.2">
      <c r="A72" s="3" t="s">
        <v>220</v>
      </c>
      <c r="I72" s="3" t="s">
        <v>221</v>
      </c>
    </row>
    <row r="73" spans="1:15" x14ac:dyDescent="0.2">
      <c r="A73" t="s">
        <v>75</v>
      </c>
      <c r="B73" s="4">
        <v>0.70399999999999996</v>
      </c>
      <c r="I73" t="s">
        <v>75</v>
      </c>
      <c r="J73" s="4">
        <v>0.69740000000000002</v>
      </c>
    </row>
    <row r="75" spans="1:15" x14ac:dyDescent="0.2">
      <c r="B75" t="s">
        <v>154</v>
      </c>
      <c r="C75" t="s">
        <v>155</v>
      </c>
      <c r="D75" t="s">
        <v>71</v>
      </c>
      <c r="E75" t="s">
        <v>72</v>
      </c>
      <c r="F75" t="s">
        <v>73</v>
      </c>
      <c r="G75" t="s">
        <v>74</v>
      </c>
      <c r="J75" t="s">
        <v>154</v>
      </c>
      <c r="K75" t="s">
        <v>155</v>
      </c>
      <c r="L75" t="s">
        <v>71</v>
      </c>
      <c r="M75" t="s">
        <v>72</v>
      </c>
      <c r="N75" t="s">
        <v>73</v>
      </c>
      <c r="O75" t="s">
        <v>74</v>
      </c>
    </row>
    <row r="77" spans="1:15" x14ac:dyDescent="0.2">
      <c r="A77">
        <v>1</v>
      </c>
      <c r="B77" t="s">
        <v>79</v>
      </c>
      <c r="C77">
        <v>0.88724664799999997</v>
      </c>
      <c r="D77">
        <v>0.95</v>
      </c>
      <c r="E77">
        <v>0.86281661799999998</v>
      </c>
      <c r="F77">
        <v>0.91178554000000001</v>
      </c>
      <c r="G77">
        <v>0.88724664799999997</v>
      </c>
      <c r="I77">
        <v>1</v>
      </c>
      <c r="J77" t="s">
        <v>79</v>
      </c>
      <c r="K77">
        <v>0.88249895</v>
      </c>
      <c r="L77">
        <v>0.95</v>
      </c>
      <c r="M77">
        <v>0.85853866999999995</v>
      </c>
      <c r="N77">
        <v>0.90656320000000001</v>
      </c>
      <c r="O77">
        <v>0.88249895</v>
      </c>
    </row>
    <row r="78" spans="1:15" x14ac:dyDescent="0.2">
      <c r="A78">
        <v>2</v>
      </c>
      <c r="B78" t="s">
        <v>2</v>
      </c>
      <c r="C78">
        <v>0.40672253899999999</v>
      </c>
      <c r="D78">
        <v>0.95</v>
      </c>
      <c r="E78">
        <v>0.37303829100000002</v>
      </c>
      <c r="F78">
        <v>0.44084912999999998</v>
      </c>
      <c r="G78">
        <v>0.40672253899999999</v>
      </c>
      <c r="I78">
        <v>2</v>
      </c>
      <c r="J78" t="s">
        <v>2</v>
      </c>
      <c r="K78">
        <v>0.37329577000000003</v>
      </c>
      <c r="L78">
        <v>0.95</v>
      </c>
      <c r="M78">
        <v>0.34262830999999999</v>
      </c>
      <c r="N78">
        <v>0.40444289999999999</v>
      </c>
      <c r="O78">
        <v>0.37329577000000003</v>
      </c>
    </row>
    <row r="79" spans="1:15" x14ac:dyDescent="0.2">
      <c r="A79">
        <v>3</v>
      </c>
      <c r="B79" t="s">
        <v>0</v>
      </c>
      <c r="C79">
        <v>-0.35073816499999999</v>
      </c>
      <c r="D79">
        <v>0.95</v>
      </c>
      <c r="E79">
        <v>-0.37457448399999999</v>
      </c>
      <c r="F79">
        <v>-0.32701649999999999</v>
      </c>
      <c r="G79">
        <v>0.35073816499999999</v>
      </c>
      <c r="I79">
        <v>3</v>
      </c>
      <c r="J79" t="s">
        <v>0</v>
      </c>
      <c r="K79">
        <v>-0.34839688000000002</v>
      </c>
      <c r="L79">
        <v>0.95</v>
      </c>
      <c r="M79">
        <v>-0.37148512</v>
      </c>
      <c r="N79">
        <v>-0.32542159999999998</v>
      </c>
      <c r="O79">
        <v>0.34839688000000002</v>
      </c>
    </row>
    <row r="80" spans="1:15" x14ac:dyDescent="0.2">
      <c r="A80">
        <v>4</v>
      </c>
      <c r="B80" t="s">
        <v>1</v>
      </c>
      <c r="C80">
        <v>0.30318835599999999</v>
      </c>
      <c r="D80">
        <v>0.95</v>
      </c>
      <c r="E80">
        <v>0.27201521200000001</v>
      </c>
      <c r="F80">
        <v>0.33448285999999999</v>
      </c>
      <c r="G80">
        <v>0.30318835599999999</v>
      </c>
      <c r="I80">
        <v>4</v>
      </c>
      <c r="J80" t="s">
        <v>1</v>
      </c>
      <c r="K80">
        <v>0.33177384999999998</v>
      </c>
      <c r="L80">
        <v>0.95</v>
      </c>
      <c r="M80">
        <v>0.30273024999999998</v>
      </c>
      <c r="N80">
        <v>0.36094310000000002</v>
      </c>
      <c r="O80">
        <v>0.33177384999999998</v>
      </c>
    </row>
    <row r="81" spans="1:15" x14ac:dyDescent="0.2">
      <c r="A81">
        <v>5</v>
      </c>
      <c r="B81" t="s">
        <v>36</v>
      </c>
      <c r="C81">
        <v>-0.258772377</v>
      </c>
      <c r="D81">
        <v>0.95</v>
      </c>
      <c r="E81">
        <v>-0.28654686699999998</v>
      </c>
      <c r="F81">
        <v>-0.23104221999999999</v>
      </c>
      <c r="G81">
        <v>0.258772377</v>
      </c>
      <c r="I81">
        <v>5</v>
      </c>
      <c r="J81" t="s">
        <v>5</v>
      </c>
      <c r="K81">
        <v>0.24870001999999999</v>
      </c>
      <c r="L81">
        <v>0.95</v>
      </c>
      <c r="M81">
        <v>0.22138785</v>
      </c>
      <c r="N81">
        <v>0.27626889999999998</v>
      </c>
      <c r="O81">
        <v>0.24870001999999999</v>
      </c>
    </row>
    <row r="82" spans="1:15" x14ac:dyDescent="0.2">
      <c r="A82">
        <v>6</v>
      </c>
      <c r="B82" t="s">
        <v>5</v>
      </c>
      <c r="C82">
        <v>0.20482397899999999</v>
      </c>
      <c r="D82">
        <v>0.95</v>
      </c>
      <c r="E82">
        <v>0.174706158</v>
      </c>
      <c r="F82">
        <v>0.23519588999999999</v>
      </c>
      <c r="G82">
        <v>0.20482397899999999</v>
      </c>
      <c r="I82">
        <v>6</v>
      </c>
      <c r="J82" t="s">
        <v>36</v>
      </c>
      <c r="K82">
        <v>-0.20525304</v>
      </c>
      <c r="L82">
        <v>0.95</v>
      </c>
      <c r="M82">
        <v>-0.22913048999999999</v>
      </c>
      <c r="N82">
        <v>-0.18140220000000001</v>
      </c>
      <c r="O82">
        <v>0.20525304</v>
      </c>
    </row>
    <row r="83" spans="1:15" x14ac:dyDescent="0.2">
      <c r="A83">
        <v>7</v>
      </c>
      <c r="B83" t="s">
        <v>9</v>
      </c>
      <c r="C83">
        <v>-0.175952737</v>
      </c>
      <c r="D83">
        <v>0.95</v>
      </c>
      <c r="E83">
        <v>-0.210257852</v>
      </c>
      <c r="F83">
        <v>-0.14163653000000001</v>
      </c>
      <c r="G83">
        <v>0.175952737</v>
      </c>
      <c r="I83">
        <v>7</v>
      </c>
      <c r="J83" t="s">
        <v>9</v>
      </c>
      <c r="K83">
        <v>-0.18163367</v>
      </c>
      <c r="L83">
        <v>0.95</v>
      </c>
      <c r="M83">
        <v>-0.2076886</v>
      </c>
      <c r="N83">
        <v>-0.15558060000000001</v>
      </c>
      <c r="O83">
        <v>0.18163367</v>
      </c>
    </row>
    <row r="84" spans="1:15" x14ac:dyDescent="0.2">
      <c r="A84">
        <v>8</v>
      </c>
      <c r="B84" t="s">
        <v>3</v>
      </c>
      <c r="C84">
        <v>-0.169746485</v>
      </c>
      <c r="D84">
        <v>0.95</v>
      </c>
      <c r="E84">
        <v>-0.194828942</v>
      </c>
      <c r="F84">
        <v>-0.144705</v>
      </c>
      <c r="G84">
        <v>0.169746485</v>
      </c>
      <c r="I84">
        <v>8</v>
      </c>
      <c r="J84" t="s">
        <v>3</v>
      </c>
      <c r="K84">
        <v>-0.16853656</v>
      </c>
      <c r="L84">
        <v>0.95</v>
      </c>
      <c r="M84">
        <v>-0.19299379</v>
      </c>
      <c r="N84">
        <v>-0.14411959999999999</v>
      </c>
      <c r="O84">
        <v>0.16853656</v>
      </c>
    </row>
    <row r="85" spans="1:15" x14ac:dyDescent="0.2">
      <c r="A85">
        <v>9</v>
      </c>
      <c r="B85" t="s">
        <v>4</v>
      </c>
      <c r="C85">
        <v>-0.14412114200000001</v>
      </c>
      <c r="D85">
        <v>0.95</v>
      </c>
      <c r="E85">
        <v>-0.16967031299999999</v>
      </c>
      <c r="F85">
        <v>-0.11857832</v>
      </c>
      <c r="G85">
        <v>0.14412114200000001</v>
      </c>
      <c r="I85">
        <v>9</v>
      </c>
      <c r="J85" t="s">
        <v>14</v>
      </c>
      <c r="K85">
        <v>-0.12901306000000001</v>
      </c>
      <c r="L85">
        <v>0.95</v>
      </c>
      <c r="M85">
        <v>-0.15509126000000001</v>
      </c>
      <c r="N85">
        <v>-0.10290920000000001</v>
      </c>
      <c r="O85">
        <v>0.12901306000000001</v>
      </c>
    </row>
    <row r="86" spans="1:15" x14ac:dyDescent="0.2">
      <c r="A86">
        <v>10</v>
      </c>
      <c r="B86" t="s">
        <v>14</v>
      </c>
      <c r="C86">
        <v>-0.14373058999999999</v>
      </c>
      <c r="D86">
        <v>0.95</v>
      </c>
      <c r="E86">
        <v>-0.191605051</v>
      </c>
      <c r="F86">
        <v>-9.5743480000000006E-2</v>
      </c>
      <c r="G86">
        <v>0.14373058999999999</v>
      </c>
      <c r="I86">
        <v>10</v>
      </c>
      <c r="J86" t="s">
        <v>4</v>
      </c>
      <c r="K86">
        <v>-0.10970497</v>
      </c>
      <c r="L86">
        <v>0.95</v>
      </c>
      <c r="M86">
        <v>-0.13393295999999999</v>
      </c>
      <c r="N86">
        <v>-8.5482900000000001E-2</v>
      </c>
      <c r="O86">
        <v>0.10970497</v>
      </c>
    </row>
    <row r="87" spans="1:15" x14ac:dyDescent="0.2">
      <c r="A87">
        <v>11</v>
      </c>
      <c r="B87" t="s">
        <v>12</v>
      </c>
      <c r="C87">
        <v>0.13940575899999999</v>
      </c>
      <c r="D87">
        <v>0.95</v>
      </c>
      <c r="E87">
        <v>0.114112976</v>
      </c>
      <c r="F87">
        <v>0.16478439</v>
      </c>
      <c r="G87">
        <v>0.13940575899999999</v>
      </c>
      <c r="I87">
        <v>11</v>
      </c>
      <c r="J87" t="s">
        <v>12</v>
      </c>
      <c r="K87">
        <v>8.9676279999999997E-2</v>
      </c>
      <c r="L87">
        <v>0.95</v>
      </c>
      <c r="M87">
        <v>6.5940570000000004E-2</v>
      </c>
      <c r="N87">
        <v>0.1135029</v>
      </c>
      <c r="O87">
        <v>8.9676279999999997E-2</v>
      </c>
    </row>
    <row r="88" spans="1:15" x14ac:dyDescent="0.2">
      <c r="A88">
        <v>12</v>
      </c>
      <c r="B88" t="s">
        <v>31</v>
      </c>
      <c r="C88">
        <v>-0.120546428</v>
      </c>
      <c r="D88">
        <v>0.95</v>
      </c>
      <c r="E88">
        <v>-0.150804717</v>
      </c>
      <c r="F88">
        <v>-9.0286089999999999E-2</v>
      </c>
      <c r="G88">
        <v>0.120546428</v>
      </c>
      <c r="I88" t="s">
        <v>219</v>
      </c>
    </row>
    <row r="89" spans="1:15" x14ac:dyDescent="0.2">
      <c r="A89">
        <v>13</v>
      </c>
      <c r="B89" t="s">
        <v>7</v>
      </c>
      <c r="C89">
        <v>7.4945164999999994E-2</v>
      </c>
      <c r="D89">
        <v>0.95</v>
      </c>
      <c r="E89">
        <v>4.0413223999999998E-2</v>
      </c>
      <c r="F89">
        <v>0.10951747000000001</v>
      </c>
      <c r="G89">
        <v>7.4945164999999994E-2</v>
      </c>
    </row>
    <row r="90" spans="1:15" x14ac:dyDescent="0.2">
      <c r="A90">
        <v>14</v>
      </c>
      <c r="B90" t="s">
        <v>21</v>
      </c>
      <c r="C90">
        <v>5.7247029999999997E-2</v>
      </c>
      <c r="D90">
        <v>0.95</v>
      </c>
      <c r="E90">
        <v>2.7206687E-2</v>
      </c>
      <c r="F90">
        <v>8.7346759999999996E-2</v>
      </c>
      <c r="G90">
        <v>5.7247029999999997E-2</v>
      </c>
    </row>
    <row r="91" spans="1:15" x14ac:dyDescent="0.2">
      <c r="A91">
        <v>15</v>
      </c>
      <c r="B91" t="s">
        <v>6</v>
      </c>
      <c r="C91">
        <v>-5.2752E-2</v>
      </c>
      <c r="D91">
        <v>0.95</v>
      </c>
      <c r="E91">
        <v>-8.5736062000000002E-2</v>
      </c>
      <c r="F91">
        <v>-1.9720709999999999E-2</v>
      </c>
      <c r="G91">
        <v>5.2752E-2</v>
      </c>
    </row>
    <row r="92" spans="1:15" x14ac:dyDescent="0.2">
      <c r="A92" s="6">
        <v>16</v>
      </c>
      <c r="B92" s="6" t="s">
        <v>8</v>
      </c>
      <c r="C92" s="6">
        <v>5.0713662E-2</v>
      </c>
      <c r="D92" s="6">
        <v>0.95</v>
      </c>
      <c r="E92" s="6">
        <v>-1.7797176000000001E-2</v>
      </c>
      <c r="F92" s="6">
        <v>0.11931116</v>
      </c>
      <c r="G92" s="6">
        <v>5.0713662E-2</v>
      </c>
    </row>
    <row r="93" spans="1:15" x14ac:dyDescent="0.2">
      <c r="A93">
        <v>17</v>
      </c>
      <c r="B93" t="s">
        <v>24</v>
      </c>
      <c r="C93">
        <v>3.1977744000000002E-2</v>
      </c>
      <c r="D93">
        <v>0.95</v>
      </c>
      <c r="E93">
        <v>7.1486600000000003E-3</v>
      </c>
      <c r="F93">
        <v>5.6908899999999998E-2</v>
      </c>
      <c r="G93">
        <v>3.1977744000000002E-2</v>
      </c>
    </row>
    <row r="94" spans="1:15" x14ac:dyDescent="0.2">
      <c r="A94" s="6">
        <v>18</v>
      </c>
      <c r="B94" s="6" t="s">
        <v>10</v>
      </c>
      <c r="C94" s="6">
        <v>2.0431171000000001E-2</v>
      </c>
      <c r="D94" s="6">
        <v>0.95</v>
      </c>
      <c r="E94" s="6">
        <v>-5.746719E-3</v>
      </c>
      <c r="F94" s="6">
        <v>4.6693279999999997E-2</v>
      </c>
      <c r="G94" s="6">
        <v>2.0431171000000001E-2</v>
      </c>
    </row>
    <row r="95" spans="1:15" x14ac:dyDescent="0.2">
      <c r="A95" s="6">
        <v>19</v>
      </c>
      <c r="B95" s="6" t="s">
        <v>17</v>
      </c>
      <c r="C95" s="6">
        <v>1.6688844000000001E-2</v>
      </c>
      <c r="D95" s="6">
        <v>0.95</v>
      </c>
      <c r="E95" s="6">
        <v>-9.4116270000000005E-3</v>
      </c>
      <c r="F95" s="6">
        <v>4.2788729999999997E-2</v>
      </c>
      <c r="G95" s="6">
        <v>1.6688844000000001E-2</v>
      </c>
    </row>
    <row r="96" spans="1:15" x14ac:dyDescent="0.2">
      <c r="A96" s="6">
        <v>20</v>
      </c>
      <c r="B96" s="6" t="s">
        <v>11</v>
      </c>
      <c r="C96" s="6">
        <v>1.1521949E-2</v>
      </c>
      <c r="D96" s="6">
        <v>0.95</v>
      </c>
      <c r="E96" s="6">
        <v>-1.8202069000000001E-2</v>
      </c>
      <c r="F96" s="6">
        <v>4.1281940000000003E-2</v>
      </c>
      <c r="G96" s="6">
        <v>1.1521949E-2</v>
      </c>
    </row>
    <row r="97" spans="1:23" x14ac:dyDescent="0.2">
      <c r="A97" s="6">
        <v>21</v>
      </c>
      <c r="B97" s="6" t="s">
        <v>13</v>
      </c>
      <c r="C97" s="6">
        <v>5.6736590000000002E-3</v>
      </c>
      <c r="D97" s="6">
        <v>0.95</v>
      </c>
      <c r="E97" s="6">
        <v>-7.6670825999999997E-2</v>
      </c>
      <c r="F97" s="6">
        <v>8.8074550000000001E-2</v>
      </c>
      <c r="G97" s="6">
        <v>5.6736590000000002E-3</v>
      </c>
    </row>
    <row r="98" spans="1:23" x14ac:dyDescent="0.2">
      <c r="A98" t="s">
        <v>212</v>
      </c>
    </row>
    <row r="101" spans="1:23" s="10" customFormat="1" x14ac:dyDescent="0.2">
      <c r="A101" s="9" t="s">
        <v>227</v>
      </c>
    </row>
    <row r="102" spans="1:23" x14ac:dyDescent="0.2">
      <c r="A102" s="3" t="s">
        <v>83</v>
      </c>
      <c r="I102" s="3" t="s">
        <v>84</v>
      </c>
      <c r="Q102" s="3" t="s">
        <v>85</v>
      </c>
    </row>
    <row r="103" spans="1:23" x14ac:dyDescent="0.2">
      <c r="A103" t="s">
        <v>75</v>
      </c>
      <c r="B103" s="4">
        <v>0.69779999999999998</v>
      </c>
      <c r="C103" s="4">
        <f>B103-B36</f>
        <v>-3.8000000000000256E-3</v>
      </c>
      <c r="I103" t="s">
        <v>75</v>
      </c>
      <c r="J103" s="4">
        <v>0.65490000000000004</v>
      </c>
      <c r="K103" s="4">
        <f>J103-J36</f>
        <v>-1.9199999999999995E-2</v>
      </c>
      <c r="Q103" t="s">
        <v>75</v>
      </c>
      <c r="R103" s="4">
        <v>0.65800000000000003</v>
      </c>
      <c r="S103" s="4">
        <f>R103-R36</f>
        <v>-2.2699999999999942E-2</v>
      </c>
    </row>
    <row r="105" spans="1:23" x14ac:dyDescent="0.2">
      <c r="B105" t="s">
        <v>154</v>
      </c>
      <c r="C105" t="s">
        <v>155</v>
      </c>
      <c r="D105" t="s">
        <v>71</v>
      </c>
      <c r="E105" t="s">
        <v>72</v>
      </c>
      <c r="F105" t="s">
        <v>73</v>
      </c>
      <c r="G105" t="s">
        <v>74</v>
      </c>
      <c r="J105" t="s">
        <v>154</v>
      </c>
      <c r="K105" t="s">
        <v>155</v>
      </c>
      <c r="L105" t="s">
        <v>71</v>
      </c>
      <c r="M105" t="s">
        <v>72</v>
      </c>
      <c r="N105" t="s">
        <v>73</v>
      </c>
      <c r="O105" t="s">
        <v>74</v>
      </c>
      <c r="R105" t="s">
        <v>154</v>
      </c>
      <c r="S105" t="s">
        <v>155</v>
      </c>
      <c r="T105" t="s">
        <v>71</v>
      </c>
      <c r="U105" t="s">
        <v>72</v>
      </c>
      <c r="V105" t="s">
        <v>73</v>
      </c>
      <c r="W105" t="s">
        <v>74</v>
      </c>
    </row>
    <row r="107" spans="1:23" x14ac:dyDescent="0.2">
      <c r="A107">
        <v>1</v>
      </c>
      <c r="B107" t="s">
        <v>79</v>
      </c>
      <c r="C107">
        <v>0.96582650000000003</v>
      </c>
      <c r="D107">
        <v>0.95</v>
      </c>
      <c r="E107">
        <v>0.92358589999999996</v>
      </c>
      <c r="F107">
        <v>1.0084070000000001</v>
      </c>
      <c r="G107">
        <v>0.96582650000000003</v>
      </c>
      <c r="I107">
        <v>1</v>
      </c>
      <c r="J107" t="s">
        <v>79</v>
      </c>
      <c r="K107">
        <v>0.47830049000000002</v>
      </c>
      <c r="L107">
        <v>0.95</v>
      </c>
      <c r="M107">
        <v>0.44066959</v>
      </c>
      <c r="N107">
        <v>0.51606799000000003</v>
      </c>
      <c r="O107">
        <v>0.47830049000000002</v>
      </c>
      <c r="Q107">
        <v>1</v>
      </c>
      <c r="R107" t="s">
        <v>79</v>
      </c>
      <c r="S107">
        <v>1.1578638000000001</v>
      </c>
      <c r="T107">
        <v>0.95</v>
      </c>
      <c r="U107">
        <v>1.1147400000000001</v>
      </c>
      <c r="V107">
        <v>1.2013982000000001</v>
      </c>
      <c r="W107">
        <v>1.1578638000000001</v>
      </c>
    </row>
    <row r="108" spans="1:23" x14ac:dyDescent="0.2">
      <c r="A108">
        <v>2</v>
      </c>
      <c r="B108" t="s">
        <v>0</v>
      </c>
      <c r="C108">
        <v>-0.56626509999999997</v>
      </c>
      <c r="D108">
        <v>0.95</v>
      </c>
      <c r="E108">
        <v>-0.60777049999999999</v>
      </c>
      <c r="F108">
        <v>-0.52522610000000003</v>
      </c>
      <c r="G108">
        <v>0.56626509999999997</v>
      </c>
      <c r="I108">
        <v>2</v>
      </c>
      <c r="J108" t="s">
        <v>0</v>
      </c>
      <c r="K108">
        <v>-0.35866268000000001</v>
      </c>
      <c r="L108">
        <v>0.95</v>
      </c>
      <c r="M108">
        <v>-0.39631633999999999</v>
      </c>
      <c r="N108">
        <v>-0.32126929999999998</v>
      </c>
      <c r="O108">
        <v>0.35866268000000001</v>
      </c>
      <c r="Q108">
        <v>2</v>
      </c>
      <c r="R108" t="s">
        <v>2</v>
      </c>
      <c r="S108">
        <v>0.31216640000000001</v>
      </c>
      <c r="T108">
        <v>0.95</v>
      </c>
      <c r="U108">
        <v>0.25644159999999999</v>
      </c>
      <c r="V108">
        <v>0.36957709999999999</v>
      </c>
      <c r="W108">
        <v>0.31216640000000001</v>
      </c>
    </row>
    <row r="109" spans="1:23" x14ac:dyDescent="0.2">
      <c r="A109">
        <v>3</v>
      </c>
      <c r="B109" t="s">
        <v>2</v>
      </c>
      <c r="C109">
        <v>0.4034066</v>
      </c>
      <c r="D109">
        <v>0.95</v>
      </c>
      <c r="E109">
        <v>0.351545</v>
      </c>
      <c r="F109">
        <v>0.45645439999999998</v>
      </c>
      <c r="G109">
        <v>0.4034066</v>
      </c>
      <c r="I109">
        <v>3</v>
      </c>
      <c r="J109" t="s">
        <v>1</v>
      </c>
      <c r="K109">
        <v>0.32363937999999998</v>
      </c>
      <c r="L109">
        <v>0.95</v>
      </c>
      <c r="M109">
        <v>0.28194237</v>
      </c>
      <c r="N109">
        <v>0.36576546999999998</v>
      </c>
      <c r="O109">
        <v>0.32363937999999998</v>
      </c>
      <c r="Q109">
        <v>3</v>
      </c>
      <c r="R109" t="s">
        <v>1</v>
      </c>
      <c r="S109">
        <v>0.26844129999999999</v>
      </c>
      <c r="T109">
        <v>0.95</v>
      </c>
      <c r="U109">
        <v>0.22273960000000001</v>
      </c>
      <c r="V109">
        <v>0.31445810000000002</v>
      </c>
      <c r="W109">
        <v>0.26844129999999999</v>
      </c>
    </row>
    <row r="110" spans="1:23" x14ac:dyDescent="0.2">
      <c r="A110">
        <v>4</v>
      </c>
      <c r="B110" t="s">
        <v>1</v>
      </c>
      <c r="C110">
        <v>0.2153545</v>
      </c>
      <c r="D110">
        <v>0.95</v>
      </c>
      <c r="E110">
        <v>0.171463</v>
      </c>
      <c r="F110">
        <v>0.25960129999999998</v>
      </c>
      <c r="G110">
        <v>0.2153545</v>
      </c>
      <c r="I110">
        <v>4</v>
      </c>
      <c r="J110" t="s">
        <v>2</v>
      </c>
      <c r="K110">
        <v>0.22314405000000001</v>
      </c>
      <c r="L110">
        <v>0.95</v>
      </c>
      <c r="M110">
        <v>0.17709431</v>
      </c>
      <c r="N110">
        <v>0.27062501</v>
      </c>
      <c r="O110">
        <v>0.22314405000000001</v>
      </c>
      <c r="Q110">
        <v>4</v>
      </c>
      <c r="R110" t="s">
        <v>4</v>
      </c>
      <c r="S110">
        <v>-0.21736949999999999</v>
      </c>
      <c r="T110">
        <v>0.95</v>
      </c>
      <c r="U110">
        <v>-0.25898850000000001</v>
      </c>
      <c r="V110">
        <v>-0.1758084</v>
      </c>
      <c r="W110">
        <v>0.21736949999999999</v>
      </c>
    </row>
    <row r="111" spans="1:23" x14ac:dyDescent="0.2">
      <c r="A111">
        <v>5</v>
      </c>
      <c r="B111" t="s">
        <v>3</v>
      </c>
      <c r="C111">
        <v>-0.17910209999999999</v>
      </c>
      <c r="D111">
        <v>0.95</v>
      </c>
      <c r="E111">
        <v>-0.21816160000000001</v>
      </c>
      <c r="F111">
        <v>-0.1400865</v>
      </c>
      <c r="G111">
        <v>0.17910209999999999</v>
      </c>
      <c r="I111">
        <v>5</v>
      </c>
      <c r="J111" t="s">
        <v>3</v>
      </c>
      <c r="K111">
        <v>-0.20839659999999999</v>
      </c>
      <c r="L111">
        <v>0.95</v>
      </c>
      <c r="M111">
        <v>-0.24643165</v>
      </c>
      <c r="N111">
        <v>-0.17060657000000001</v>
      </c>
      <c r="O111">
        <v>0.20839659999999999</v>
      </c>
      <c r="Q111">
        <v>5</v>
      </c>
      <c r="R111" t="s">
        <v>0</v>
      </c>
      <c r="S111">
        <v>-0.1861449</v>
      </c>
      <c r="T111">
        <v>0.95</v>
      </c>
      <c r="U111">
        <v>-0.2262614</v>
      </c>
      <c r="V111">
        <v>-0.1459018</v>
      </c>
      <c r="W111">
        <v>0.1861449</v>
      </c>
    </row>
    <row r="112" spans="1:23" x14ac:dyDescent="0.2">
      <c r="A112">
        <v>6</v>
      </c>
      <c r="B112" t="s">
        <v>4</v>
      </c>
      <c r="C112">
        <v>-0.15789619999999999</v>
      </c>
      <c r="D112">
        <v>0.95</v>
      </c>
      <c r="E112">
        <v>-0.19994629999999999</v>
      </c>
      <c r="F112">
        <v>-0.11592470000000001</v>
      </c>
      <c r="G112">
        <v>0.15789619999999999</v>
      </c>
      <c r="I112">
        <v>6</v>
      </c>
      <c r="J112" t="s">
        <v>4</v>
      </c>
      <c r="K112">
        <v>-5.4866329999999998E-2</v>
      </c>
      <c r="L112">
        <v>0.95</v>
      </c>
      <c r="M112">
        <v>-9.2984730000000002E-2</v>
      </c>
      <c r="N112">
        <v>-1.6805469999999999E-2</v>
      </c>
      <c r="O112">
        <v>5.4866329999999998E-2</v>
      </c>
      <c r="Q112">
        <v>6</v>
      </c>
      <c r="R112" t="s">
        <v>3</v>
      </c>
      <c r="S112">
        <v>-0.17748539999999999</v>
      </c>
      <c r="T112">
        <v>0.95</v>
      </c>
      <c r="U112">
        <v>-0.2162705</v>
      </c>
      <c r="V112">
        <v>-0.13865420000000001</v>
      </c>
      <c r="W112">
        <v>0.17748539999999999</v>
      </c>
    </row>
    <row r="113" spans="1:17" x14ac:dyDescent="0.2">
      <c r="A113" t="s">
        <v>228</v>
      </c>
      <c r="I113" t="s">
        <v>228</v>
      </c>
      <c r="Q113" t="s">
        <v>228</v>
      </c>
    </row>
  </sheetData>
  <mergeCells count="2">
    <mergeCell ref="Y5:Y12"/>
    <mergeCell ref="Y13:Y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24D3-CD4D-6B41-8279-331EA7573D82}">
  <dimension ref="A1:T72"/>
  <sheetViews>
    <sheetView topLeftCell="A7" workbookViewId="0">
      <selection activeCell="B11" sqref="B11"/>
    </sheetView>
  </sheetViews>
  <sheetFormatPr baseColWidth="10" defaultRowHeight="16" x14ac:dyDescent="0.2"/>
  <sheetData>
    <row r="1" spans="1:20" x14ac:dyDescent="0.2">
      <c r="A1" s="3" t="s">
        <v>83</v>
      </c>
      <c r="H1" s="3" t="s">
        <v>84</v>
      </c>
      <c r="O1" s="3" t="s">
        <v>85</v>
      </c>
    </row>
    <row r="2" spans="1:20" x14ac:dyDescent="0.2">
      <c r="A2" s="3"/>
      <c r="H2" s="3"/>
      <c r="O2" s="3"/>
    </row>
    <row r="3" spans="1:20" x14ac:dyDescent="0.2">
      <c r="A3" s="18" t="s">
        <v>191</v>
      </c>
      <c r="H3" s="18" t="s">
        <v>194</v>
      </c>
      <c r="O3" s="18" t="s">
        <v>197</v>
      </c>
    </row>
    <row r="4" spans="1:20" x14ac:dyDescent="0.2">
      <c r="A4" s="18" t="s">
        <v>173</v>
      </c>
      <c r="H4" s="18" t="s">
        <v>173</v>
      </c>
      <c r="O4" s="18" t="s">
        <v>173</v>
      </c>
    </row>
    <row r="5" spans="1:20" x14ac:dyDescent="0.2">
      <c r="A5" s="18" t="s">
        <v>174</v>
      </c>
      <c r="H5" s="18" t="s">
        <v>174</v>
      </c>
      <c r="O5" s="18" t="s">
        <v>174</v>
      </c>
    </row>
    <row r="6" spans="1:20" x14ac:dyDescent="0.2">
      <c r="A6" s="18" t="s">
        <v>192</v>
      </c>
      <c r="H6" s="18" t="s">
        <v>195</v>
      </c>
      <c r="O6" s="18" t="s">
        <v>198</v>
      </c>
    </row>
    <row r="7" spans="1:20" x14ac:dyDescent="0.2">
      <c r="A7" s="18" t="s">
        <v>193</v>
      </c>
      <c r="H7" s="18" t="s">
        <v>196</v>
      </c>
      <c r="O7" s="18" t="s">
        <v>199</v>
      </c>
    </row>
    <row r="8" spans="1:20" x14ac:dyDescent="0.2">
      <c r="A8" s="3"/>
      <c r="G8" s="3"/>
      <c r="O8" s="3"/>
    </row>
    <row r="9" spans="1:20" x14ac:dyDescent="0.2">
      <c r="A9" s="3" t="s">
        <v>65</v>
      </c>
      <c r="B9" s="3" t="s">
        <v>156</v>
      </c>
      <c r="C9" s="3">
        <v>0</v>
      </c>
      <c r="D9" s="3">
        <v>1</v>
      </c>
      <c r="E9" s="3" t="s">
        <v>157</v>
      </c>
      <c r="F9" s="3" t="s">
        <v>68</v>
      </c>
      <c r="G9" s="3"/>
      <c r="H9" s="3" t="s">
        <v>65</v>
      </c>
      <c r="I9" s="3" t="s">
        <v>156</v>
      </c>
      <c r="J9" s="3">
        <v>0</v>
      </c>
      <c r="K9" s="3">
        <v>1</v>
      </c>
      <c r="L9" s="3" t="s">
        <v>157</v>
      </c>
      <c r="M9" s="3" t="s">
        <v>68</v>
      </c>
      <c r="N9" s="3"/>
      <c r="O9" s="3" t="s">
        <v>65</v>
      </c>
      <c r="P9" s="3" t="s">
        <v>156</v>
      </c>
      <c r="Q9" s="3">
        <v>0</v>
      </c>
      <c r="R9" s="3">
        <v>1</v>
      </c>
      <c r="S9" s="3" t="s">
        <v>157</v>
      </c>
      <c r="T9" s="3" t="s">
        <v>68</v>
      </c>
    </row>
    <row r="11" spans="1:20" x14ac:dyDescent="0.2">
      <c r="A11">
        <v>1</v>
      </c>
      <c r="B11" t="s">
        <v>90</v>
      </c>
      <c r="C11">
        <v>18.322188334</v>
      </c>
      <c r="D11">
        <v>24.624414900000001</v>
      </c>
      <c r="E11">
        <v>27.178802600000001</v>
      </c>
      <c r="F11">
        <v>114.01224240000001</v>
      </c>
      <c r="H11">
        <v>1</v>
      </c>
      <c r="I11" t="s">
        <v>91</v>
      </c>
      <c r="J11">
        <v>10.0830761</v>
      </c>
      <c r="K11">
        <v>12.101990975</v>
      </c>
      <c r="L11">
        <v>15.59733628</v>
      </c>
      <c r="M11">
        <v>71.775677999999999</v>
      </c>
      <c r="O11">
        <v>1</v>
      </c>
      <c r="P11" t="s">
        <v>91</v>
      </c>
      <c r="Q11">
        <v>20.05780197</v>
      </c>
      <c r="R11">
        <v>16.811464443999999</v>
      </c>
      <c r="S11">
        <v>22.876945071000002</v>
      </c>
      <c r="T11">
        <v>87.805304000000007</v>
      </c>
    </row>
    <row r="12" spans="1:20" x14ac:dyDescent="0.2">
      <c r="A12">
        <v>2</v>
      </c>
      <c r="B12" t="s">
        <v>91</v>
      </c>
      <c r="C12">
        <v>17.709509282999999</v>
      </c>
      <c r="D12">
        <v>14.704766210000001</v>
      </c>
      <c r="E12">
        <v>23.228369699999998</v>
      </c>
      <c r="F12">
        <v>105.69066359999999</v>
      </c>
      <c r="H12">
        <v>2</v>
      </c>
      <c r="I12" t="s">
        <v>93</v>
      </c>
      <c r="J12">
        <v>6.1565935999999999</v>
      </c>
      <c r="K12">
        <v>6.7122447269999999</v>
      </c>
      <c r="L12">
        <v>8.9755132700000004</v>
      </c>
      <c r="M12">
        <v>67.155637799999994</v>
      </c>
      <c r="O12">
        <v>2</v>
      </c>
      <c r="P12" t="s">
        <v>90</v>
      </c>
      <c r="Q12">
        <v>16.846231400000001</v>
      </c>
      <c r="R12">
        <v>18.291540029</v>
      </c>
      <c r="S12">
        <v>22.370968909999998</v>
      </c>
      <c r="T12">
        <v>82.979768800000002</v>
      </c>
    </row>
    <row r="13" spans="1:20" x14ac:dyDescent="0.2">
      <c r="A13">
        <v>3</v>
      </c>
      <c r="B13" t="s">
        <v>92</v>
      </c>
      <c r="C13">
        <v>11.179245763000001</v>
      </c>
      <c r="D13">
        <v>5.9430287899999996</v>
      </c>
      <c r="E13">
        <v>12.3842298</v>
      </c>
      <c r="F13">
        <v>74.044683899999995</v>
      </c>
      <c r="H13">
        <v>3</v>
      </c>
      <c r="I13" t="s">
        <v>90</v>
      </c>
      <c r="J13">
        <v>3.6807121</v>
      </c>
      <c r="K13">
        <v>4.2345174859999997</v>
      </c>
      <c r="L13">
        <v>5.5573428500000004</v>
      </c>
      <c r="M13">
        <v>41.768633700000002</v>
      </c>
      <c r="O13">
        <v>3</v>
      </c>
      <c r="P13" t="s">
        <v>94</v>
      </c>
      <c r="Q13">
        <v>16.249534820000001</v>
      </c>
      <c r="R13">
        <v>9.4283958200000004</v>
      </c>
      <c r="S13">
        <v>17.752196858000001</v>
      </c>
      <c r="T13">
        <v>79.907127200000005</v>
      </c>
    </row>
    <row r="14" spans="1:20" x14ac:dyDescent="0.2">
      <c r="A14">
        <v>4</v>
      </c>
      <c r="B14" t="s">
        <v>132</v>
      </c>
      <c r="C14">
        <v>6.8121630580000003</v>
      </c>
      <c r="D14">
        <v>5.0916466800000002</v>
      </c>
      <c r="E14">
        <v>8.1556412999999992</v>
      </c>
      <c r="F14">
        <v>21.8090741</v>
      </c>
      <c r="H14">
        <v>4</v>
      </c>
      <c r="I14" t="s">
        <v>127</v>
      </c>
      <c r="J14">
        <v>7.4809163999999999</v>
      </c>
      <c r="K14">
        <v>-1.72905647</v>
      </c>
      <c r="L14">
        <v>4.4792888399999997</v>
      </c>
      <c r="M14">
        <v>58.985546300000003</v>
      </c>
      <c r="O14">
        <v>4</v>
      </c>
      <c r="P14" t="s">
        <v>93</v>
      </c>
      <c r="Q14">
        <v>8.5565752600000007</v>
      </c>
      <c r="R14">
        <v>10.162187876000001</v>
      </c>
      <c r="S14">
        <v>12.460779998</v>
      </c>
      <c r="T14">
        <v>74.431956</v>
      </c>
    </row>
    <row r="15" spans="1:20" x14ac:dyDescent="0.2">
      <c r="A15">
        <v>5</v>
      </c>
      <c r="B15" t="s">
        <v>98</v>
      </c>
      <c r="C15">
        <v>4.1004035239999999</v>
      </c>
      <c r="D15">
        <v>6.2259294699999996</v>
      </c>
      <c r="E15">
        <v>7.5536554000000002</v>
      </c>
      <c r="F15">
        <v>29.638131900000001</v>
      </c>
      <c r="H15">
        <v>5</v>
      </c>
      <c r="I15" t="s">
        <v>130</v>
      </c>
      <c r="J15">
        <v>4.2677144</v>
      </c>
      <c r="K15">
        <v>1.768286762</v>
      </c>
      <c r="L15">
        <v>4.1136179400000001</v>
      </c>
      <c r="M15">
        <v>57.5463174</v>
      </c>
      <c r="O15">
        <v>5</v>
      </c>
      <c r="P15" t="s">
        <v>112</v>
      </c>
      <c r="Q15">
        <v>11.97766785</v>
      </c>
      <c r="R15">
        <v>4.6293466219999999</v>
      </c>
      <c r="S15">
        <v>11.478890649</v>
      </c>
      <c r="T15">
        <v>87.875566800000001</v>
      </c>
    </row>
    <row r="16" spans="1:20" x14ac:dyDescent="0.2">
      <c r="A16">
        <v>6</v>
      </c>
      <c r="B16" t="s">
        <v>93</v>
      </c>
      <c r="C16">
        <v>0.23475085700000001</v>
      </c>
      <c r="D16">
        <v>10.40587245</v>
      </c>
      <c r="E16">
        <v>7.4086632999999997</v>
      </c>
      <c r="F16">
        <v>64.990905100000006</v>
      </c>
      <c r="H16">
        <v>6</v>
      </c>
      <c r="I16" t="s">
        <v>98</v>
      </c>
      <c r="J16">
        <v>1.2745348000000001</v>
      </c>
      <c r="K16">
        <v>4.751983461</v>
      </c>
      <c r="L16">
        <v>3.9112755400000001</v>
      </c>
      <c r="M16">
        <v>25.919524800000001</v>
      </c>
      <c r="O16">
        <v>6</v>
      </c>
      <c r="P16" t="s">
        <v>123</v>
      </c>
      <c r="Q16">
        <v>2.70675219</v>
      </c>
      <c r="R16">
        <v>9.1984725970000003</v>
      </c>
      <c r="S16">
        <v>8.76597136</v>
      </c>
      <c r="T16">
        <v>26.5429371</v>
      </c>
    </row>
    <row r="17" spans="1:20" x14ac:dyDescent="0.2">
      <c r="A17">
        <v>7</v>
      </c>
      <c r="B17" t="s">
        <v>94</v>
      </c>
      <c r="C17">
        <v>5.7537881420000003</v>
      </c>
      <c r="D17">
        <v>4.9793195199999998</v>
      </c>
      <c r="E17">
        <v>7.3428255</v>
      </c>
      <c r="F17">
        <v>53.021549200000003</v>
      </c>
      <c r="H17">
        <v>7</v>
      </c>
      <c r="I17" t="s">
        <v>117</v>
      </c>
      <c r="J17">
        <v>5.7599515999999999</v>
      </c>
      <c r="K17">
        <v>0.32728752799999999</v>
      </c>
      <c r="L17">
        <v>3.8410856</v>
      </c>
      <c r="M17">
        <v>21.725916900000001</v>
      </c>
      <c r="O17">
        <v>7</v>
      </c>
      <c r="P17" t="s">
        <v>114</v>
      </c>
      <c r="Q17">
        <v>9.2774228000000001</v>
      </c>
      <c r="R17">
        <v>-0.19315275000000001</v>
      </c>
      <c r="S17">
        <v>7.0272349050000003</v>
      </c>
      <c r="T17">
        <v>63.1052891</v>
      </c>
    </row>
    <row r="18" spans="1:20" x14ac:dyDescent="0.2">
      <c r="A18">
        <v>8</v>
      </c>
      <c r="B18" t="s">
        <v>96</v>
      </c>
      <c r="C18">
        <v>6.0592980450000002</v>
      </c>
      <c r="D18">
        <v>4.2774138199999996</v>
      </c>
      <c r="E18">
        <v>7.0428901000000002</v>
      </c>
      <c r="F18">
        <v>11.652423300000001</v>
      </c>
      <c r="H18">
        <v>8</v>
      </c>
      <c r="I18" t="s">
        <v>114</v>
      </c>
      <c r="J18">
        <v>3.9558021999999999</v>
      </c>
      <c r="K18">
        <v>1.101897353</v>
      </c>
      <c r="L18">
        <v>3.5509519200000002</v>
      </c>
      <c r="M18">
        <v>58.562504500000003</v>
      </c>
      <c r="O18">
        <v>8</v>
      </c>
      <c r="P18" t="s">
        <v>104</v>
      </c>
      <c r="Q18">
        <v>4.5867588799999996</v>
      </c>
      <c r="R18">
        <v>4.5873972869999999</v>
      </c>
      <c r="S18">
        <v>6.8108064769999999</v>
      </c>
      <c r="T18">
        <v>59.918072799999997</v>
      </c>
    </row>
    <row r="19" spans="1:20" x14ac:dyDescent="0.2">
      <c r="A19">
        <v>9</v>
      </c>
      <c r="B19" t="s">
        <v>111</v>
      </c>
      <c r="C19">
        <v>1.995095501</v>
      </c>
      <c r="D19">
        <v>4.4510554400000002</v>
      </c>
      <c r="E19">
        <v>5.2416537999999999</v>
      </c>
      <c r="F19">
        <v>60.322616099999998</v>
      </c>
      <c r="H19">
        <v>9</v>
      </c>
      <c r="I19" t="s">
        <v>153</v>
      </c>
      <c r="J19">
        <v>3.6319515</v>
      </c>
      <c r="K19">
        <v>0.83298865200000005</v>
      </c>
      <c r="L19">
        <v>3.4591901100000002</v>
      </c>
      <c r="M19">
        <v>13.4009307</v>
      </c>
      <c r="O19">
        <v>9</v>
      </c>
      <c r="P19" t="s">
        <v>130</v>
      </c>
      <c r="Q19">
        <v>6.2256204799999999</v>
      </c>
      <c r="R19">
        <v>0.63057278999999999</v>
      </c>
      <c r="S19">
        <v>4.755770622</v>
      </c>
      <c r="T19">
        <v>78.067769100000007</v>
      </c>
    </row>
    <row r="20" spans="1:20" x14ac:dyDescent="0.2">
      <c r="A20">
        <v>10</v>
      </c>
      <c r="B20" t="s">
        <v>100</v>
      </c>
      <c r="C20">
        <v>3.3531926240000001</v>
      </c>
      <c r="D20">
        <v>3.8318811500000001</v>
      </c>
      <c r="E20">
        <v>5.2196242000000002</v>
      </c>
      <c r="F20">
        <v>25.471332700000001</v>
      </c>
      <c r="H20">
        <v>10</v>
      </c>
      <c r="I20" t="s">
        <v>92</v>
      </c>
      <c r="J20">
        <v>3.2489021999999999</v>
      </c>
      <c r="K20">
        <v>1.5650228749999999</v>
      </c>
      <c r="L20">
        <v>3.3766480900000002</v>
      </c>
      <c r="M20">
        <v>36.378465900000002</v>
      </c>
      <c r="O20">
        <v>10</v>
      </c>
      <c r="P20" t="s">
        <v>143</v>
      </c>
      <c r="Q20">
        <v>2.18559971</v>
      </c>
      <c r="R20">
        <v>4.7157041990000002</v>
      </c>
      <c r="S20">
        <v>4.6463128510000002</v>
      </c>
      <c r="T20">
        <v>17.9403322</v>
      </c>
    </row>
    <row r="21" spans="1:20" x14ac:dyDescent="0.2">
      <c r="A21">
        <v>11</v>
      </c>
      <c r="B21" t="s">
        <v>109</v>
      </c>
      <c r="C21">
        <v>3.9298330209999999</v>
      </c>
      <c r="D21">
        <v>2.95496603</v>
      </c>
      <c r="E21">
        <v>5.0421149999999999</v>
      </c>
      <c r="F21">
        <v>62.253962100000003</v>
      </c>
      <c r="H21">
        <v>11</v>
      </c>
      <c r="I21" t="s">
        <v>165</v>
      </c>
      <c r="J21">
        <v>4.0648967000000003</v>
      </c>
      <c r="K21">
        <v>0.364203783</v>
      </c>
      <c r="L21">
        <v>3.2363793900000002</v>
      </c>
      <c r="M21">
        <v>50.6261364</v>
      </c>
      <c r="O21">
        <v>11</v>
      </c>
      <c r="P21" t="s">
        <v>166</v>
      </c>
      <c r="Q21">
        <v>3.0502724799999998</v>
      </c>
      <c r="R21">
        <v>2.4838523069999998</v>
      </c>
      <c r="S21">
        <v>4.4907356529999998</v>
      </c>
      <c r="T21">
        <v>66.638879799999998</v>
      </c>
    </row>
    <row r="22" spans="1:20" x14ac:dyDescent="0.2">
      <c r="A22">
        <v>12</v>
      </c>
      <c r="B22" t="s">
        <v>112</v>
      </c>
      <c r="C22">
        <v>7.1476443420000004</v>
      </c>
      <c r="D22">
        <v>-0.96813269000000002</v>
      </c>
      <c r="E22">
        <v>4.6755513000000004</v>
      </c>
      <c r="F22">
        <v>64.878819899999996</v>
      </c>
      <c r="H22">
        <v>12</v>
      </c>
      <c r="I22" t="s">
        <v>168</v>
      </c>
      <c r="J22">
        <v>2.7719923</v>
      </c>
      <c r="K22">
        <v>1.686810739</v>
      </c>
      <c r="L22">
        <v>3.1284029100000001</v>
      </c>
      <c r="M22">
        <v>51.342875800000002</v>
      </c>
      <c r="O22">
        <v>12</v>
      </c>
      <c r="P22" t="s">
        <v>99</v>
      </c>
      <c r="Q22">
        <v>0.39844394999999999</v>
      </c>
      <c r="R22">
        <v>5.3208969960000001</v>
      </c>
      <c r="S22">
        <v>4.3499899820000003</v>
      </c>
      <c r="T22">
        <v>67.353183299999998</v>
      </c>
    </row>
    <row r="23" spans="1:20" x14ac:dyDescent="0.2">
      <c r="A23">
        <v>13</v>
      </c>
      <c r="B23" t="s">
        <v>114</v>
      </c>
      <c r="C23">
        <v>5.5649840780000002</v>
      </c>
      <c r="D23">
        <v>-3.721998E-2</v>
      </c>
      <c r="E23">
        <v>4.3781768999999997</v>
      </c>
      <c r="F23">
        <v>57.424678100000001</v>
      </c>
      <c r="H23">
        <v>13</v>
      </c>
      <c r="I23" t="s">
        <v>167</v>
      </c>
      <c r="J23">
        <v>4.5551225999999998</v>
      </c>
      <c r="K23">
        <v>-0.56131371799999996</v>
      </c>
      <c r="L23">
        <v>3.10600553</v>
      </c>
      <c r="M23">
        <v>54.009514000000003</v>
      </c>
      <c r="O23">
        <v>13</v>
      </c>
      <c r="P23" t="s">
        <v>139</v>
      </c>
      <c r="Q23">
        <v>3.9423819</v>
      </c>
      <c r="R23">
        <v>1.466998182</v>
      </c>
      <c r="S23">
        <v>4.1006201070000001</v>
      </c>
      <c r="T23">
        <v>67.558071799999993</v>
      </c>
    </row>
    <row r="24" spans="1:20" x14ac:dyDescent="0.2">
      <c r="A24">
        <v>14</v>
      </c>
      <c r="B24" t="s">
        <v>107</v>
      </c>
      <c r="C24">
        <v>2.0217037530000002</v>
      </c>
      <c r="D24">
        <v>3.9278504299999999</v>
      </c>
      <c r="E24">
        <v>4.2712972000000002</v>
      </c>
      <c r="F24">
        <v>27.641818099999998</v>
      </c>
      <c r="H24">
        <v>14</v>
      </c>
      <c r="I24" t="s">
        <v>107</v>
      </c>
      <c r="J24">
        <v>3.0908707</v>
      </c>
      <c r="K24">
        <v>0.74939797699999999</v>
      </c>
      <c r="L24">
        <v>2.7825682299999999</v>
      </c>
      <c r="M24">
        <v>32.3502923</v>
      </c>
      <c r="O24">
        <v>14</v>
      </c>
      <c r="P24" t="s">
        <v>128</v>
      </c>
      <c r="Q24">
        <v>2.5143222399999998</v>
      </c>
      <c r="R24">
        <v>2.436499499</v>
      </c>
      <c r="S24">
        <v>3.9655134840000001</v>
      </c>
      <c r="T24">
        <v>18.8947498</v>
      </c>
    </row>
    <row r="25" spans="1:20" x14ac:dyDescent="0.2">
      <c r="A25">
        <v>15</v>
      </c>
      <c r="B25" t="s">
        <v>128</v>
      </c>
      <c r="C25">
        <v>1.684576786</v>
      </c>
      <c r="D25">
        <v>3.9623765199999998</v>
      </c>
      <c r="E25">
        <v>4.1648119000000001</v>
      </c>
      <c r="F25">
        <v>19.637535799999998</v>
      </c>
      <c r="H25">
        <v>15</v>
      </c>
      <c r="I25" t="s">
        <v>148</v>
      </c>
      <c r="J25">
        <v>2.8636845000000002</v>
      </c>
      <c r="K25">
        <v>0.84021673299999999</v>
      </c>
      <c r="L25">
        <v>2.71453911</v>
      </c>
      <c r="M25">
        <v>51.510784700000002</v>
      </c>
      <c r="O25">
        <v>15</v>
      </c>
      <c r="P25" t="s">
        <v>137</v>
      </c>
      <c r="Q25">
        <v>2.5295693199999998</v>
      </c>
      <c r="R25">
        <v>2.9771206110000001</v>
      </c>
      <c r="S25">
        <v>3.8766218719999999</v>
      </c>
      <c r="T25">
        <v>61.809209799999998</v>
      </c>
    </row>
    <row r="26" spans="1:20" x14ac:dyDescent="0.2">
      <c r="A26">
        <v>16</v>
      </c>
      <c r="B26" t="s">
        <v>102</v>
      </c>
      <c r="C26">
        <v>1.7341032729999999</v>
      </c>
      <c r="D26">
        <v>3.9008941099999999</v>
      </c>
      <c r="E26">
        <v>4.1558586000000002</v>
      </c>
      <c r="F26">
        <v>38.670434200000003</v>
      </c>
      <c r="H26">
        <v>16</v>
      </c>
      <c r="I26" t="s">
        <v>97</v>
      </c>
      <c r="J26">
        <v>3.9617442999999999</v>
      </c>
      <c r="K26">
        <v>-0.75104952899999999</v>
      </c>
      <c r="L26">
        <v>2.5826532900000001</v>
      </c>
      <c r="M26">
        <v>49.587328999999997</v>
      </c>
      <c r="O26">
        <v>16</v>
      </c>
      <c r="P26" t="s">
        <v>97</v>
      </c>
      <c r="Q26">
        <v>1.90070636</v>
      </c>
      <c r="R26">
        <v>3.216813975</v>
      </c>
      <c r="S26">
        <v>3.7597831560000001</v>
      </c>
      <c r="T26">
        <v>55.054826900000002</v>
      </c>
    </row>
    <row r="27" spans="1:20" x14ac:dyDescent="0.2">
      <c r="A27">
        <v>17</v>
      </c>
      <c r="B27" t="s">
        <v>166</v>
      </c>
      <c r="C27">
        <v>2.1837979270000001</v>
      </c>
      <c r="D27">
        <v>2.67658664</v>
      </c>
      <c r="E27">
        <v>3.9811448</v>
      </c>
      <c r="F27">
        <v>59.593253699999998</v>
      </c>
      <c r="H27">
        <v>17</v>
      </c>
      <c r="I27" t="s">
        <v>112</v>
      </c>
      <c r="J27">
        <v>4.7177614999999999</v>
      </c>
      <c r="K27">
        <v>-1.4758337029999999</v>
      </c>
      <c r="L27">
        <v>2.5485790800000001</v>
      </c>
      <c r="M27">
        <v>53.412135200000002</v>
      </c>
      <c r="O27">
        <v>17</v>
      </c>
      <c r="P27" t="s">
        <v>165</v>
      </c>
      <c r="Q27">
        <v>1.93464861</v>
      </c>
      <c r="R27">
        <v>3.3115993939999999</v>
      </c>
      <c r="S27">
        <v>3.7469303730000001</v>
      </c>
      <c r="T27">
        <v>64.791014899999993</v>
      </c>
    </row>
    <row r="28" spans="1:20" x14ac:dyDescent="0.2">
      <c r="A28">
        <v>18</v>
      </c>
      <c r="B28" t="s">
        <v>123</v>
      </c>
      <c r="C28">
        <v>0.75577603400000004</v>
      </c>
      <c r="D28">
        <v>4.3373194599999998</v>
      </c>
      <c r="E28">
        <v>3.5748600000000001</v>
      </c>
      <c r="F28">
        <v>23.322142700000001</v>
      </c>
      <c r="H28">
        <v>18</v>
      </c>
      <c r="I28" t="s">
        <v>126</v>
      </c>
      <c r="J28">
        <v>2.1840921</v>
      </c>
      <c r="K28">
        <v>1.075006999</v>
      </c>
      <c r="L28">
        <v>2.4809568099999999</v>
      </c>
      <c r="M28">
        <v>51.303167600000002</v>
      </c>
      <c r="O28">
        <v>18</v>
      </c>
      <c r="P28" t="s">
        <v>113</v>
      </c>
      <c r="Q28">
        <v>3.1320864300000002</v>
      </c>
      <c r="R28">
        <v>2.0264022750000001</v>
      </c>
      <c r="S28">
        <v>3.645907089</v>
      </c>
      <c r="T28">
        <v>71.650396999999998</v>
      </c>
    </row>
    <row r="29" spans="1:20" x14ac:dyDescent="0.2">
      <c r="A29">
        <v>19</v>
      </c>
      <c r="B29" t="s">
        <v>116</v>
      </c>
      <c r="C29">
        <v>2.808885788</v>
      </c>
      <c r="D29">
        <v>1.7904321599999999</v>
      </c>
      <c r="E29">
        <v>3.2679649</v>
      </c>
      <c r="F29">
        <v>62.380279799999997</v>
      </c>
      <c r="H29">
        <v>19</v>
      </c>
      <c r="I29" t="s">
        <v>111</v>
      </c>
      <c r="J29">
        <v>-2.7514590000000001</v>
      </c>
      <c r="K29">
        <v>5.4387338679999999</v>
      </c>
      <c r="L29">
        <v>2.3346971500000002</v>
      </c>
      <c r="M29">
        <v>51.523006799999997</v>
      </c>
      <c r="O29">
        <v>19</v>
      </c>
      <c r="P29" t="s">
        <v>135</v>
      </c>
      <c r="Q29">
        <v>5.0656856000000001</v>
      </c>
      <c r="R29">
        <v>-0.408392545</v>
      </c>
      <c r="S29">
        <v>3.465975163</v>
      </c>
      <c r="T29">
        <v>69.853740299999998</v>
      </c>
    </row>
    <row r="30" spans="1:20" x14ac:dyDescent="0.2">
      <c r="A30">
        <v>20</v>
      </c>
      <c r="B30" t="s">
        <v>120</v>
      </c>
      <c r="C30">
        <v>-0.58043066899999995</v>
      </c>
      <c r="D30">
        <v>4.95259596</v>
      </c>
      <c r="E30">
        <v>3.0488398999999999</v>
      </c>
      <c r="F30">
        <v>47.275345799999997</v>
      </c>
      <c r="H30">
        <v>20</v>
      </c>
      <c r="I30" t="s">
        <v>119</v>
      </c>
      <c r="J30">
        <v>2.3872162000000001</v>
      </c>
      <c r="K30">
        <v>0.76594755199999998</v>
      </c>
      <c r="L30">
        <v>2.3143596400000002</v>
      </c>
      <c r="M30">
        <v>49.794016200000002</v>
      </c>
      <c r="O30">
        <v>20</v>
      </c>
      <c r="P30" t="s">
        <v>168</v>
      </c>
      <c r="Q30">
        <v>2.56136074</v>
      </c>
      <c r="R30">
        <v>2.125260038</v>
      </c>
      <c r="S30">
        <v>3.4404423139999998</v>
      </c>
      <c r="T30">
        <v>68.071544900000006</v>
      </c>
    </row>
    <row r="31" spans="1:20" x14ac:dyDescent="0.2">
      <c r="A31">
        <v>21</v>
      </c>
      <c r="B31" t="s">
        <v>165</v>
      </c>
      <c r="C31">
        <v>1.574947262</v>
      </c>
      <c r="D31">
        <v>2.14418979</v>
      </c>
      <c r="E31">
        <v>2.7375880000000001</v>
      </c>
      <c r="F31">
        <v>59.768970600000003</v>
      </c>
      <c r="H31">
        <v>21</v>
      </c>
      <c r="I31" t="s">
        <v>118</v>
      </c>
      <c r="J31">
        <v>1.4911532999999999</v>
      </c>
      <c r="K31">
        <v>1.886959031</v>
      </c>
      <c r="L31">
        <v>2.2952809300000001</v>
      </c>
      <c r="M31">
        <v>42.920821400000001</v>
      </c>
      <c r="O31">
        <v>21</v>
      </c>
      <c r="P31" t="s">
        <v>167</v>
      </c>
      <c r="Q31">
        <v>4.4277522899999999</v>
      </c>
      <c r="R31">
        <v>-0.36009394300000003</v>
      </c>
      <c r="S31">
        <v>3.4343795070000001</v>
      </c>
      <c r="T31">
        <v>67.539382399999994</v>
      </c>
    </row>
    <row r="32" spans="1:20" x14ac:dyDescent="0.2">
      <c r="A32">
        <v>22</v>
      </c>
      <c r="B32" t="s">
        <v>99</v>
      </c>
      <c r="C32">
        <v>-3.1807773949999998</v>
      </c>
      <c r="D32">
        <v>6.4876390400000004</v>
      </c>
      <c r="E32">
        <v>2.6322295000000002</v>
      </c>
      <c r="F32">
        <v>59.168098299999997</v>
      </c>
      <c r="H32">
        <v>22</v>
      </c>
      <c r="I32" t="s">
        <v>94</v>
      </c>
      <c r="J32">
        <v>1.3997043</v>
      </c>
      <c r="K32">
        <v>1.6096051149999999</v>
      </c>
      <c r="L32">
        <v>2.2144406299999999</v>
      </c>
      <c r="M32">
        <v>44.566723500000002</v>
      </c>
      <c r="O32">
        <v>22</v>
      </c>
      <c r="P32" t="s">
        <v>118</v>
      </c>
      <c r="Q32">
        <v>3.1855191700000001</v>
      </c>
      <c r="R32">
        <v>1.6462477099999999</v>
      </c>
      <c r="S32">
        <v>3.42485857</v>
      </c>
      <c r="T32">
        <v>33.964227200000003</v>
      </c>
    </row>
    <row r="33" spans="1:20" x14ac:dyDescent="0.2">
      <c r="A33">
        <v>23</v>
      </c>
      <c r="B33" t="s">
        <v>130</v>
      </c>
      <c r="C33">
        <v>2.7386145549999998</v>
      </c>
      <c r="D33">
        <v>0.82036677000000002</v>
      </c>
      <c r="E33">
        <v>2.5942637</v>
      </c>
      <c r="F33">
        <v>64.872359900000006</v>
      </c>
      <c r="H33">
        <v>23</v>
      </c>
      <c r="I33" t="s">
        <v>121</v>
      </c>
      <c r="J33">
        <v>4.2373032000000004</v>
      </c>
      <c r="K33">
        <v>-1.4940981659999999</v>
      </c>
      <c r="L33">
        <v>2.2027452099999998</v>
      </c>
      <c r="M33">
        <v>50.852432299999997</v>
      </c>
      <c r="O33">
        <v>23</v>
      </c>
      <c r="P33" t="s">
        <v>98</v>
      </c>
      <c r="Q33">
        <v>0.28602928</v>
      </c>
      <c r="R33">
        <v>4.4530850549999998</v>
      </c>
      <c r="S33">
        <v>3.4083727829999999</v>
      </c>
      <c r="T33">
        <v>29.508683900000001</v>
      </c>
    </row>
    <row r="34" spans="1:20" x14ac:dyDescent="0.2">
      <c r="A34">
        <v>24</v>
      </c>
      <c r="B34" t="s">
        <v>148</v>
      </c>
      <c r="C34">
        <v>2.0905455179999999</v>
      </c>
      <c r="D34">
        <v>1.31985661</v>
      </c>
      <c r="E34">
        <v>2.4775757</v>
      </c>
      <c r="F34">
        <v>59.233064499999998</v>
      </c>
      <c r="H34">
        <v>24</v>
      </c>
      <c r="I34" t="s">
        <v>132</v>
      </c>
      <c r="J34">
        <v>1.2457053</v>
      </c>
      <c r="K34">
        <v>1.766974772</v>
      </c>
      <c r="L34">
        <v>2.1474878400000001</v>
      </c>
      <c r="M34">
        <v>14.885507199999999</v>
      </c>
      <c r="O34">
        <v>24</v>
      </c>
      <c r="P34" t="s">
        <v>92</v>
      </c>
      <c r="Q34">
        <v>2.54809967</v>
      </c>
      <c r="R34">
        <v>2.132077722</v>
      </c>
      <c r="S34">
        <v>3.3180116759999998</v>
      </c>
      <c r="T34">
        <v>43.057172799999996</v>
      </c>
    </row>
    <row r="35" spans="1:20" x14ac:dyDescent="0.2">
      <c r="A35">
        <v>25</v>
      </c>
      <c r="B35" t="s">
        <v>150</v>
      </c>
      <c r="C35">
        <v>2.2466801790000002</v>
      </c>
      <c r="D35">
        <v>0.56988037999999996</v>
      </c>
      <c r="E35">
        <v>2.4641324999999998</v>
      </c>
      <c r="F35">
        <v>0.29622159999999997</v>
      </c>
      <c r="H35">
        <v>25</v>
      </c>
      <c r="I35" t="s">
        <v>141</v>
      </c>
      <c r="J35">
        <v>3.6189577000000002</v>
      </c>
      <c r="K35">
        <v>-1.1520822719999999</v>
      </c>
      <c r="L35">
        <v>2.1005981600000001</v>
      </c>
      <c r="M35">
        <v>30.543202600000001</v>
      </c>
      <c r="O35">
        <v>25</v>
      </c>
      <c r="P35" t="s">
        <v>136</v>
      </c>
      <c r="Q35">
        <v>2.6845626299999998</v>
      </c>
      <c r="R35">
        <v>1.9982671139999999</v>
      </c>
      <c r="S35">
        <v>3.2768868000000002</v>
      </c>
      <c r="T35">
        <v>49.791611899999999</v>
      </c>
    </row>
    <row r="36" spans="1:20" x14ac:dyDescent="0.2">
      <c r="A36">
        <v>26</v>
      </c>
      <c r="B36" t="s">
        <v>105</v>
      </c>
      <c r="C36">
        <v>2.2453863950000001</v>
      </c>
      <c r="D36">
        <v>0.91366797</v>
      </c>
      <c r="E36">
        <v>2.4540251999999998</v>
      </c>
      <c r="F36">
        <v>57.850841299999999</v>
      </c>
      <c r="H36">
        <v>26</v>
      </c>
      <c r="I36" t="s">
        <v>102</v>
      </c>
      <c r="J36">
        <v>1.4347787000000001</v>
      </c>
      <c r="K36">
        <v>1.3902253579999999</v>
      </c>
      <c r="L36">
        <v>2.0527658799999999</v>
      </c>
      <c r="M36">
        <v>42.2978144</v>
      </c>
      <c r="O36">
        <v>26</v>
      </c>
      <c r="P36" t="s">
        <v>140</v>
      </c>
      <c r="Q36">
        <v>3.4113079000000002</v>
      </c>
      <c r="R36">
        <v>0.87310657199999997</v>
      </c>
      <c r="S36">
        <v>3.2424794330000002</v>
      </c>
      <c r="T36">
        <v>40.307998900000001</v>
      </c>
    </row>
    <row r="37" spans="1:20" x14ac:dyDescent="0.2">
      <c r="A37">
        <v>27</v>
      </c>
      <c r="B37" t="s">
        <v>133</v>
      </c>
      <c r="C37">
        <v>0.73362080799999996</v>
      </c>
      <c r="D37">
        <v>2.3956135700000001</v>
      </c>
      <c r="E37">
        <v>2.3729952000000001</v>
      </c>
      <c r="F37">
        <v>62.706305299999997</v>
      </c>
      <c r="H37">
        <v>27</v>
      </c>
      <c r="I37" t="s">
        <v>139</v>
      </c>
      <c r="J37">
        <v>3.1925479999999999</v>
      </c>
      <c r="K37">
        <v>-0.75024238399999998</v>
      </c>
      <c r="L37">
        <v>1.95788136</v>
      </c>
      <c r="M37">
        <v>53.913987800000001</v>
      </c>
      <c r="O37">
        <v>27</v>
      </c>
      <c r="P37" t="s">
        <v>129</v>
      </c>
      <c r="Q37">
        <v>2.9874320299999999</v>
      </c>
      <c r="R37">
        <v>1.1307633479999999</v>
      </c>
      <c r="S37">
        <v>3.2276272160000001</v>
      </c>
      <c r="T37">
        <v>23.433968700000001</v>
      </c>
    </row>
    <row r="38" spans="1:20" x14ac:dyDescent="0.2">
      <c r="A38">
        <v>28</v>
      </c>
      <c r="B38" t="s">
        <v>118</v>
      </c>
      <c r="C38">
        <v>1.534452591</v>
      </c>
      <c r="D38">
        <v>1.6966270999999999</v>
      </c>
      <c r="E38">
        <v>2.3703457000000001</v>
      </c>
      <c r="F38">
        <v>31.634961799999999</v>
      </c>
      <c r="H38">
        <v>28</v>
      </c>
      <c r="I38" t="s">
        <v>134</v>
      </c>
      <c r="J38">
        <v>0.93928880000000003</v>
      </c>
      <c r="K38">
        <v>1.4754143019999999</v>
      </c>
      <c r="L38">
        <v>1.80305677</v>
      </c>
      <c r="M38">
        <v>50.289351099999998</v>
      </c>
      <c r="O38">
        <v>28</v>
      </c>
      <c r="P38" t="s">
        <v>105</v>
      </c>
      <c r="Q38">
        <v>1.96508273</v>
      </c>
      <c r="R38">
        <v>2.5096810700000001</v>
      </c>
      <c r="S38">
        <v>3.2103578100000001</v>
      </c>
      <c r="T38">
        <v>60.363070200000003</v>
      </c>
    </row>
    <row r="39" spans="1:20" x14ac:dyDescent="0.2">
      <c r="A39">
        <v>29</v>
      </c>
      <c r="B39" t="s">
        <v>141</v>
      </c>
      <c r="C39">
        <v>8.8371481000000002E-2</v>
      </c>
      <c r="D39">
        <v>3.23475622</v>
      </c>
      <c r="E39">
        <v>2.2676219</v>
      </c>
      <c r="F39">
        <v>32.114304099999998</v>
      </c>
      <c r="H39">
        <v>29</v>
      </c>
      <c r="I39" t="s">
        <v>151</v>
      </c>
      <c r="J39">
        <v>2.1120915</v>
      </c>
      <c r="K39">
        <v>7.7437429000000002E-2</v>
      </c>
      <c r="L39">
        <v>1.6379306499999999</v>
      </c>
      <c r="M39">
        <v>18.148873200000001</v>
      </c>
      <c r="O39">
        <v>29</v>
      </c>
      <c r="P39" t="s">
        <v>106</v>
      </c>
      <c r="Q39">
        <v>2.3279353700000001</v>
      </c>
      <c r="R39">
        <v>2.2592907210000002</v>
      </c>
      <c r="S39">
        <v>3.205798202</v>
      </c>
      <c r="T39">
        <v>36.461048900000002</v>
      </c>
    </row>
    <row r="40" spans="1:20" x14ac:dyDescent="0.2">
      <c r="A40">
        <v>30</v>
      </c>
      <c r="B40" t="s">
        <v>125</v>
      </c>
      <c r="C40">
        <v>-0.151801191</v>
      </c>
      <c r="D40">
        <v>3.3109686699999998</v>
      </c>
      <c r="E40">
        <v>2.2621391000000002</v>
      </c>
      <c r="F40">
        <v>52.626442300000001</v>
      </c>
      <c r="H40">
        <v>30</v>
      </c>
      <c r="I40" t="s">
        <v>137</v>
      </c>
      <c r="J40">
        <v>0.23541590000000001</v>
      </c>
      <c r="K40">
        <v>2.0166728809999999</v>
      </c>
      <c r="L40">
        <v>1.5450210900000001</v>
      </c>
      <c r="M40">
        <v>52.834319399999998</v>
      </c>
      <c r="O40">
        <v>30</v>
      </c>
      <c r="P40" t="s">
        <v>103</v>
      </c>
      <c r="Q40">
        <v>3.7487330299999999</v>
      </c>
      <c r="R40">
        <v>0.377679496</v>
      </c>
      <c r="S40">
        <v>3.2023636369999999</v>
      </c>
      <c r="T40">
        <v>67.663082399999993</v>
      </c>
    </row>
    <row r="41" spans="1:20" x14ac:dyDescent="0.2">
      <c r="A41">
        <v>31</v>
      </c>
      <c r="B41" t="s">
        <v>129</v>
      </c>
      <c r="C41">
        <v>-2.3261848600000001</v>
      </c>
      <c r="D41">
        <v>5.6824797800000004</v>
      </c>
      <c r="E41">
        <v>2.2512758000000002</v>
      </c>
      <c r="F41">
        <v>20.015833199999999</v>
      </c>
      <c r="H41">
        <v>31</v>
      </c>
      <c r="I41" t="s">
        <v>135</v>
      </c>
      <c r="J41">
        <v>3.6963309999999998</v>
      </c>
      <c r="K41">
        <v>-1.5732872790000001</v>
      </c>
      <c r="L41">
        <v>1.53267727</v>
      </c>
      <c r="M41">
        <v>54.708435600000001</v>
      </c>
      <c r="O41">
        <v>31</v>
      </c>
      <c r="P41" t="s">
        <v>125</v>
      </c>
      <c r="Q41">
        <v>-0.51277530999999998</v>
      </c>
      <c r="R41">
        <v>5.1551520660000003</v>
      </c>
      <c r="S41">
        <v>3.1841886119999998</v>
      </c>
      <c r="T41">
        <v>63.732747099999997</v>
      </c>
    </row>
    <row r="42" spans="1:20" x14ac:dyDescent="0.2">
      <c r="A42">
        <v>32</v>
      </c>
      <c r="B42" t="s">
        <v>119</v>
      </c>
      <c r="C42">
        <v>1.078773888</v>
      </c>
      <c r="D42">
        <v>1.6098759</v>
      </c>
      <c r="E42">
        <v>1.9950319000000001</v>
      </c>
      <c r="F42">
        <v>56.826613399999999</v>
      </c>
      <c r="H42">
        <v>32</v>
      </c>
      <c r="I42" t="s">
        <v>99</v>
      </c>
      <c r="J42">
        <v>5.9549400000000002E-2</v>
      </c>
      <c r="K42">
        <v>1.9761438170000001</v>
      </c>
      <c r="L42">
        <v>1.43632005</v>
      </c>
      <c r="M42">
        <v>49.345177300000003</v>
      </c>
      <c r="O42">
        <v>32</v>
      </c>
      <c r="P42" t="s">
        <v>116</v>
      </c>
      <c r="Q42">
        <v>3.7308645500000002</v>
      </c>
      <c r="R42">
        <v>5.9802959000000003E-2</v>
      </c>
      <c r="S42">
        <v>2.7815004069999998</v>
      </c>
      <c r="T42">
        <v>67.242464400000003</v>
      </c>
    </row>
    <row r="43" spans="1:20" x14ac:dyDescent="0.2">
      <c r="A43">
        <v>33</v>
      </c>
      <c r="B43" t="s">
        <v>139</v>
      </c>
      <c r="C43">
        <v>0.76007222399999996</v>
      </c>
      <c r="D43">
        <v>1.8672058600000001</v>
      </c>
      <c r="E43">
        <v>1.8579349000000001</v>
      </c>
      <c r="F43">
        <v>60.122080599999997</v>
      </c>
      <c r="H43">
        <v>33</v>
      </c>
      <c r="I43" t="s">
        <v>129</v>
      </c>
      <c r="J43">
        <v>2.3542440999999998</v>
      </c>
      <c r="K43">
        <v>-0.56551918000000001</v>
      </c>
      <c r="L43">
        <v>1.42517779</v>
      </c>
      <c r="M43">
        <v>15.272744700000001</v>
      </c>
      <c r="O43">
        <v>33</v>
      </c>
      <c r="P43" t="s">
        <v>127</v>
      </c>
      <c r="Q43">
        <v>2.76353706</v>
      </c>
      <c r="R43">
        <v>0.70372797899999995</v>
      </c>
      <c r="S43">
        <v>2.6790747420000001</v>
      </c>
      <c r="T43">
        <v>66.827829300000005</v>
      </c>
    </row>
    <row r="44" spans="1:20" x14ac:dyDescent="0.2">
      <c r="A44">
        <v>34</v>
      </c>
      <c r="B44" t="s">
        <v>134</v>
      </c>
      <c r="C44">
        <v>-0.94758533199999995</v>
      </c>
      <c r="D44">
        <v>3.50694989</v>
      </c>
      <c r="E44">
        <v>1.8184701999999999</v>
      </c>
      <c r="F44">
        <v>55.9120767</v>
      </c>
      <c r="H44">
        <v>34</v>
      </c>
      <c r="I44" t="s">
        <v>166</v>
      </c>
      <c r="J44">
        <v>0.4365771</v>
      </c>
      <c r="K44">
        <v>1.243153817</v>
      </c>
      <c r="L44">
        <v>1.3305914299999999</v>
      </c>
      <c r="M44">
        <v>52.079842599999999</v>
      </c>
      <c r="O44">
        <v>34</v>
      </c>
      <c r="P44" t="s">
        <v>124</v>
      </c>
      <c r="Q44">
        <v>5.6915191700000003</v>
      </c>
      <c r="R44">
        <v>-2.4094172899999999</v>
      </c>
      <c r="S44">
        <v>2.501536711</v>
      </c>
      <c r="T44">
        <v>65.407673900000006</v>
      </c>
    </row>
    <row r="45" spans="1:20" x14ac:dyDescent="0.2">
      <c r="A45">
        <v>35</v>
      </c>
      <c r="B45" t="s">
        <v>122</v>
      </c>
      <c r="C45">
        <v>-1.6511189630000001</v>
      </c>
      <c r="D45">
        <v>3.9663553</v>
      </c>
      <c r="E45">
        <v>1.7900399</v>
      </c>
      <c r="F45">
        <v>58.830201600000002</v>
      </c>
      <c r="H45">
        <v>35</v>
      </c>
      <c r="I45" t="s">
        <v>109</v>
      </c>
      <c r="J45">
        <v>1.4199933</v>
      </c>
      <c r="K45">
        <v>0.39178359400000001</v>
      </c>
      <c r="L45">
        <v>1.2746392099999999</v>
      </c>
      <c r="M45">
        <v>55.139107899999999</v>
      </c>
      <c r="O45">
        <v>35</v>
      </c>
      <c r="P45" t="s">
        <v>132</v>
      </c>
      <c r="Q45">
        <v>0.57036838000000001</v>
      </c>
      <c r="R45">
        <v>2.7904226479999998</v>
      </c>
      <c r="S45">
        <v>2.4298996659999998</v>
      </c>
      <c r="T45">
        <v>16.178194900000001</v>
      </c>
    </row>
    <row r="46" spans="1:20" x14ac:dyDescent="0.2">
      <c r="A46">
        <v>36</v>
      </c>
      <c r="B46" t="s">
        <v>117</v>
      </c>
      <c r="C46">
        <v>0.112800106</v>
      </c>
      <c r="D46">
        <v>2.36484644</v>
      </c>
      <c r="E46">
        <v>1.7597100000000001</v>
      </c>
      <c r="F46">
        <v>15.9226279</v>
      </c>
      <c r="H46">
        <v>36</v>
      </c>
      <c r="I46" t="s">
        <v>133</v>
      </c>
      <c r="J46">
        <v>1.7039335</v>
      </c>
      <c r="K46">
        <v>2.5415085E-2</v>
      </c>
      <c r="L46">
        <v>1.2445544399999999</v>
      </c>
      <c r="M46">
        <v>55.052014300000003</v>
      </c>
      <c r="O46">
        <v>36</v>
      </c>
      <c r="P46" t="s">
        <v>134</v>
      </c>
      <c r="Q46">
        <v>1.7494780700000001</v>
      </c>
      <c r="R46">
        <v>1.6609036589999999</v>
      </c>
      <c r="S46">
        <v>2.4179164630000001</v>
      </c>
      <c r="T46">
        <v>61.214416700000001</v>
      </c>
    </row>
    <row r="47" spans="1:20" x14ac:dyDescent="0.2">
      <c r="A47">
        <v>37</v>
      </c>
      <c r="B47" t="s">
        <v>167</v>
      </c>
      <c r="C47">
        <v>1.7059338289999999</v>
      </c>
      <c r="D47">
        <v>0.49364321</v>
      </c>
      <c r="E47">
        <v>1.7252292</v>
      </c>
      <c r="F47">
        <v>57.806761999999999</v>
      </c>
      <c r="H47">
        <v>37</v>
      </c>
      <c r="I47" t="s">
        <v>124</v>
      </c>
      <c r="J47">
        <v>2.3929255999999999</v>
      </c>
      <c r="K47">
        <v>-0.74110120999999995</v>
      </c>
      <c r="L47">
        <v>1.2293096100000001</v>
      </c>
      <c r="M47">
        <v>53.373818399999998</v>
      </c>
      <c r="O47">
        <v>37</v>
      </c>
      <c r="P47" t="s">
        <v>141</v>
      </c>
      <c r="Q47">
        <v>-2.8829622800000001</v>
      </c>
      <c r="R47">
        <v>6.0392757650000002</v>
      </c>
      <c r="S47">
        <v>2.4050340619999999</v>
      </c>
      <c r="T47">
        <v>40.916955399999999</v>
      </c>
    </row>
    <row r="48" spans="1:20" x14ac:dyDescent="0.2">
      <c r="A48">
        <v>38</v>
      </c>
      <c r="B48" t="s">
        <v>113</v>
      </c>
      <c r="C48">
        <v>0.73949146700000001</v>
      </c>
      <c r="D48">
        <v>1.53563929</v>
      </c>
      <c r="E48">
        <v>1.6540739</v>
      </c>
      <c r="F48">
        <v>63.994245900000003</v>
      </c>
      <c r="H48">
        <v>38</v>
      </c>
      <c r="I48" t="s">
        <v>103</v>
      </c>
      <c r="J48">
        <v>-1.7997281999999999</v>
      </c>
      <c r="K48">
        <v>3.3438682790000001</v>
      </c>
      <c r="L48">
        <v>1.0076198300000001</v>
      </c>
      <c r="M48">
        <v>54.745099699999997</v>
      </c>
      <c r="O48">
        <v>38</v>
      </c>
      <c r="P48" t="s">
        <v>121</v>
      </c>
      <c r="Q48">
        <v>2.7510613899999998</v>
      </c>
      <c r="R48">
        <v>0.48951283899999998</v>
      </c>
      <c r="S48">
        <v>2.2941778269999999</v>
      </c>
      <c r="T48">
        <v>64.931832499999999</v>
      </c>
    </row>
    <row r="49" spans="1:20" x14ac:dyDescent="0.2">
      <c r="A49">
        <v>39</v>
      </c>
      <c r="B49" t="s">
        <v>106</v>
      </c>
      <c r="C49">
        <v>0.237590516</v>
      </c>
      <c r="D49">
        <v>2.1829865900000001</v>
      </c>
      <c r="E49">
        <v>1.6179271</v>
      </c>
      <c r="F49">
        <v>35.801866400000002</v>
      </c>
      <c r="H49">
        <v>39</v>
      </c>
      <c r="I49" t="s">
        <v>106</v>
      </c>
      <c r="J49">
        <v>0.9245698</v>
      </c>
      <c r="K49">
        <v>0.53857383000000003</v>
      </c>
      <c r="L49">
        <v>0.99573301999999997</v>
      </c>
      <c r="M49">
        <v>35.867625599999997</v>
      </c>
      <c r="O49">
        <v>39</v>
      </c>
      <c r="P49" t="s">
        <v>126</v>
      </c>
      <c r="Q49">
        <v>1.9806779999999999</v>
      </c>
      <c r="R49">
        <v>0.996492037</v>
      </c>
      <c r="S49">
        <v>2.2690013580000001</v>
      </c>
      <c r="T49">
        <v>65.450602500000002</v>
      </c>
    </row>
    <row r="50" spans="1:20" x14ac:dyDescent="0.2">
      <c r="A50">
        <v>40</v>
      </c>
      <c r="B50" t="s">
        <v>153</v>
      </c>
      <c r="C50">
        <v>1.9184150010000001</v>
      </c>
      <c r="D50">
        <v>0.32874388999999998</v>
      </c>
      <c r="E50">
        <v>1.6130483</v>
      </c>
      <c r="F50">
        <v>11.4553215</v>
      </c>
      <c r="H50">
        <v>40</v>
      </c>
      <c r="I50" t="s">
        <v>122</v>
      </c>
      <c r="J50">
        <v>0.14302229999999999</v>
      </c>
      <c r="K50">
        <v>1.226690066</v>
      </c>
      <c r="L50">
        <v>0.98861114000000005</v>
      </c>
      <c r="M50">
        <v>53.341827799999997</v>
      </c>
      <c r="O50">
        <v>40</v>
      </c>
      <c r="P50" t="s">
        <v>120</v>
      </c>
      <c r="Q50">
        <v>-0.23824324999999999</v>
      </c>
      <c r="R50">
        <v>3.1121460509999999</v>
      </c>
      <c r="S50">
        <v>1.995281254</v>
      </c>
      <c r="T50">
        <v>42.8050426</v>
      </c>
    </row>
    <row r="51" spans="1:20" x14ac:dyDescent="0.2">
      <c r="A51">
        <v>41</v>
      </c>
      <c r="B51" t="s">
        <v>145</v>
      </c>
      <c r="C51">
        <v>0.35644005600000001</v>
      </c>
      <c r="D51">
        <v>2.0233284600000001</v>
      </c>
      <c r="E51">
        <v>1.5876458</v>
      </c>
      <c r="F51">
        <v>6.1658923000000003</v>
      </c>
      <c r="H51">
        <v>41</v>
      </c>
      <c r="I51" t="s">
        <v>116</v>
      </c>
      <c r="J51">
        <v>2.2619653999999998</v>
      </c>
      <c r="K51">
        <v>-0.95079316000000003</v>
      </c>
      <c r="L51">
        <v>0.95861163000000005</v>
      </c>
      <c r="M51">
        <v>54.886468899999997</v>
      </c>
      <c r="O51">
        <v>41</v>
      </c>
      <c r="P51" t="s">
        <v>109</v>
      </c>
      <c r="Q51">
        <v>2.2563633599999999</v>
      </c>
      <c r="R51">
        <v>0.42028781399999998</v>
      </c>
      <c r="S51">
        <v>1.990094934</v>
      </c>
      <c r="T51">
        <v>63.673271399999997</v>
      </c>
    </row>
    <row r="52" spans="1:20" x14ac:dyDescent="0.2">
      <c r="A52">
        <v>42</v>
      </c>
      <c r="B52" t="s">
        <v>138</v>
      </c>
      <c r="C52">
        <v>1.6458656199999999</v>
      </c>
      <c r="D52">
        <v>0.62028797999999996</v>
      </c>
      <c r="E52">
        <v>1.5564768</v>
      </c>
      <c r="F52">
        <v>7.6847453999999997</v>
      </c>
      <c r="H52">
        <v>42</v>
      </c>
      <c r="I52" t="s">
        <v>120</v>
      </c>
      <c r="J52">
        <v>-0.28585830000000001</v>
      </c>
      <c r="K52">
        <v>1.502495278</v>
      </c>
      <c r="L52">
        <v>0.90171902000000004</v>
      </c>
      <c r="M52">
        <v>40.704452199999999</v>
      </c>
      <c r="O52">
        <v>42</v>
      </c>
      <c r="P52" t="s">
        <v>119</v>
      </c>
      <c r="Q52">
        <v>0.65204457999999998</v>
      </c>
      <c r="R52">
        <v>1.8359570949999999</v>
      </c>
      <c r="S52">
        <v>1.7866031570000001</v>
      </c>
      <c r="T52">
        <v>51.227375199999997</v>
      </c>
    </row>
    <row r="53" spans="1:20" x14ac:dyDescent="0.2">
      <c r="A53">
        <v>43</v>
      </c>
      <c r="B53" t="s">
        <v>143</v>
      </c>
      <c r="C53">
        <v>0.90071345300000005</v>
      </c>
      <c r="D53">
        <v>1.2943980399999999</v>
      </c>
      <c r="E53">
        <v>1.5393219</v>
      </c>
      <c r="F53">
        <v>14.827246199999999</v>
      </c>
      <c r="H53">
        <v>43</v>
      </c>
      <c r="I53" t="s">
        <v>142</v>
      </c>
      <c r="J53">
        <v>1.360495</v>
      </c>
      <c r="K53">
        <v>-0.129371921</v>
      </c>
      <c r="L53">
        <v>0.89092625999999997</v>
      </c>
      <c r="M53">
        <v>51.802081000000001</v>
      </c>
      <c r="O53">
        <v>43</v>
      </c>
      <c r="P53" t="s">
        <v>147</v>
      </c>
      <c r="Q53">
        <v>3.00371503</v>
      </c>
      <c r="R53">
        <v>-0.61922015799999996</v>
      </c>
      <c r="S53">
        <v>1.674022693</v>
      </c>
      <c r="T53">
        <v>67.503841499999993</v>
      </c>
    </row>
    <row r="54" spans="1:20" x14ac:dyDescent="0.2">
      <c r="A54">
        <v>44</v>
      </c>
      <c r="B54" t="s">
        <v>140</v>
      </c>
      <c r="C54">
        <v>0.937900595</v>
      </c>
      <c r="D54">
        <v>0.86090009000000001</v>
      </c>
      <c r="E54">
        <v>1.3644259000000001</v>
      </c>
      <c r="F54">
        <v>43.4870254</v>
      </c>
      <c r="H54">
        <v>44</v>
      </c>
      <c r="I54" t="s">
        <v>144</v>
      </c>
      <c r="J54">
        <v>1.6201945</v>
      </c>
      <c r="K54">
        <v>-0.43786982800000002</v>
      </c>
      <c r="L54">
        <v>0.87712709</v>
      </c>
      <c r="M54">
        <v>53.333984399999999</v>
      </c>
      <c r="O54">
        <v>44</v>
      </c>
      <c r="P54" t="s">
        <v>133</v>
      </c>
      <c r="Q54">
        <v>2.3164932299999998</v>
      </c>
      <c r="R54">
        <v>-6.2702558000000005E-2</v>
      </c>
      <c r="S54">
        <v>1.642018607</v>
      </c>
      <c r="T54">
        <v>67.5036159</v>
      </c>
    </row>
    <row r="55" spans="1:20" x14ac:dyDescent="0.2">
      <c r="A55">
        <v>45</v>
      </c>
      <c r="B55" t="s">
        <v>142</v>
      </c>
      <c r="C55">
        <v>-0.37386882399999999</v>
      </c>
      <c r="D55">
        <v>1.95535035</v>
      </c>
      <c r="E55">
        <v>1.1464354999999999</v>
      </c>
      <c r="F55">
        <v>59.147711700000002</v>
      </c>
      <c r="H55">
        <v>45</v>
      </c>
      <c r="I55" t="s">
        <v>145</v>
      </c>
      <c r="J55">
        <v>1.1309703</v>
      </c>
      <c r="K55">
        <v>8.6036020000000001E-3</v>
      </c>
      <c r="L55">
        <v>0.78684496000000004</v>
      </c>
      <c r="M55">
        <v>12.0210138</v>
      </c>
      <c r="O55">
        <v>45</v>
      </c>
      <c r="P55" t="s">
        <v>150</v>
      </c>
      <c r="Q55">
        <v>1.3402626900000001</v>
      </c>
      <c r="R55">
        <v>0</v>
      </c>
      <c r="S55">
        <v>1.359187916</v>
      </c>
      <c r="T55">
        <v>0.1404474</v>
      </c>
    </row>
    <row r="56" spans="1:20" x14ac:dyDescent="0.2">
      <c r="A56">
        <v>46</v>
      </c>
      <c r="B56" t="s">
        <v>103</v>
      </c>
      <c r="C56">
        <v>-0.30543244400000003</v>
      </c>
      <c r="D56">
        <v>1.85107698</v>
      </c>
      <c r="E56">
        <v>1.1146316000000001</v>
      </c>
      <c r="F56">
        <v>61.479095100000002</v>
      </c>
      <c r="H56">
        <v>46</v>
      </c>
      <c r="I56" t="s">
        <v>140</v>
      </c>
      <c r="J56">
        <v>-0.91918599999999995</v>
      </c>
      <c r="K56">
        <v>1.946165446</v>
      </c>
      <c r="L56">
        <v>0.64294134000000003</v>
      </c>
      <c r="M56">
        <v>44.9727575</v>
      </c>
      <c r="O56">
        <v>46</v>
      </c>
      <c r="P56" t="s">
        <v>107</v>
      </c>
      <c r="Q56">
        <v>-0.35966416000000001</v>
      </c>
      <c r="R56">
        <v>2.0451274590000001</v>
      </c>
      <c r="S56">
        <v>1.265421146</v>
      </c>
      <c r="T56">
        <v>24.040555300000001</v>
      </c>
    </row>
    <row r="57" spans="1:20" x14ac:dyDescent="0.2">
      <c r="A57">
        <v>47</v>
      </c>
      <c r="B57" t="s">
        <v>135</v>
      </c>
      <c r="C57">
        <v>-0.36811745699999998</v>
      </c>
      <c r="D57">
        <v>1.90495814</v>
      </c>
      <c r="E57">
        <v>1.0487404</v>
      </c>
      <c r="F57">
        <v>59.131470299999997</v>
      </c>
      <c r="H57">
        <v>47</v>
      </c>
      <c r="I57" t="s">
        <v>136</v>
      </c>
      <c r="J57">
        <v>-0.1184788</v>
      </c>
      <c r="K57">
        <v>0.92429074</v>
      </c>
      <c r="L57">
        <v>0.53942966999999997</v>
      </c>
      <c r="M57">
        <v>44.146616799999997</v>
      </c>
      <c r="O57">
        <v>47</v>
      </c>
      <c r="P57" t="s">
        <v>148</v>
      </c>
      <c r="Q57">
        <v>1.5760018200000001</v>
      </c>
      <c r="R57">
        <v>0.213807887</v>
      </c>
      <c r="S57">
        <v>1.2596326790000001</v>
      </c>
      <c r="T57">
        <v>65.127619199999998</v>
      </c>
    </row>
    <row r="58" spans="1:20" x14ac:dyDescent="0.2">
      <c r="A58">
        <v>48</v>
      </c>
      <c r="B58" t="s">
        <v>97</v>
      </c>
      <c r="C58">
        <v>0.95520264799999999</v>
      </c>
      <c r="D58">
        <v>0.40804803000000001</v>
      </c>
      <c r="E58">
        <v>1.045455</v>
      </c>
      <c r="F58">
        <v>55.3548312</v>
      </c>
      <c r="H58">
        <v>48</v>
      </c>
      <c r="I58" t="s">
        <v>105</v>
      </c>
      <c r="J58">
        <v>1.4943572000000001</v>
      </c>
      <c r="K58">
        <v>-1.0214603870000001</v>
      </c>
      <c r="L58">
        <v>0.37912905000000002</v>
      </c>
      <c r="M58">
        <v>50.050676299999999</v>
      </c>
      <c r="O58">
        <v>48</v>
      </c>
      <c r="P58" t="s">
        <v>100</v>
      </c>
      <c r="Q58">
        <v>0.78331713000000003</v>
      </c>
      <c r="R58">
        <v>0.90601494800000004</v>
      </c>
      <c r="S58">
        <v>1.2541930240000001</v>
      </c>
      <c r="T58">
        <v>21.674308100000001</v>
      </c>
    </row>
    <row r="59" spans="1:20" x14ac:dyDescent="0.2">
      <c r="A59">
        <v>49</v>
      </c>
      <c r="B59" t="s">
        <v>126</v>
      </c>
      <c r="C59">
        <v>-0.95024604800000001</v>
      </c>
      <c r="D59">
        <v>2.33674413</v>
      </c>
      <c r="E59">
        <v>1.0017231</v>
      </c>
      <c r="F59">
        <v>55.058547599999997</v>
      </c>
      <c r="H59">
        <v>49</v>
      </c>
      <c r="I59" t="s">
        <v>147</v>
      </c>
      <c r="J59">
        <v>0.56937349999999998</v>
      </c>
      <c r="K59">
        <v>-0.26366792900000002</v>
      </c>
      <c r="L59">
        <v>0.32296169000000002</v>
      </c>
      <c r="M59">
        <v>53.669151999999997</v>
      </c>
      <c r="O59">
        <v>49</v>
      </c>
      <c r="P59" t="s">
        <v>111</v>
      </c>
      <c r="Q59">
        <v>-2.8028180200000001</v>
      </c>
      <c r="R59">
        <v>4.1049154659999996</v>
      </c>
      <c r="S59">
        <v>1.065439928</v>
      </c>
      <c r="T59">
        <v>59.9745171</v>
      </c>
    </row>
    <row r="60" spans="1:20" x14ac:dyDescent="0.2">
      <c r="A60">
        <v>50</v>
      </c>
      <c r="B60" t="s">
        <v>127</v>
      </c>
      <c r="C60">
        <v>0.67222574499999999</v>
      </c>
      <c r="D60">
        <v>0.43880899000000001</v>
      </c>
      <c r="E60">
        <v>0.82681870000000002</v>
      </c>
      <c r="F60">
        <v>57.855204100000002</v>
      </c>
      <c r="H60">
        <v>50</v>
      </c>
      <c r="I60" t="s">
        <v>104</v>
      </c>
      <c r="J60">
        <v>2.7173699</v>
      </c>
      <c r="K60">
        <v>-2.5994447090000001</v>
      </c>
      <c r="L60">
        <v>0.21712674000000001</v>
      </c>
      <c r="M60">
        <v>47.167906199999997</v>
      </c>
      <c r="O60">
        <v>50</v>
      </c>
      <c r="P60" t="s">
        <v>122</v>
      </c>
      <c r="Q60">
        <v>1.1090822199999999</v>
      </c>
      <c r="R60">
        <v>0.40455881999999999</v>
      </c>
      <c r="S60">
        <v>1.053901513</v>
      </c>
      <c r="T60">
        <v>66.057951500000001</v>
      </c>
    </row>
    <row r="61" spans="1:20" x14ac:dyDescent="0.2">
      <c r="A61">
        <v>51</v>
      </c>
      <c r="B61" t="s">
        <v>124</v>
      </c>
      <c r="C61">
        <v>0.97817225299999999</v>
      </c>
      <c r="D61">
        <v>4.2455260000000002E-2</v>
      </c>
      <c r="E61">
        <v>0.78490130000000002</v>
      </c>
      <c r="F61">
        <v>57.933693499999997</v>
      </c>
      <c r="H61">
        <v>51</v>
      </c>
      <c r="I61" t="s">
        <v>149</v>
      </c>
      <c r="J61">
        <v>0</v>
      </c>
      <c r="K61">
        <v>0</v>
      </c>
      <c r="L61">
        <v>0</v>
      </c>
      <c r="M61">
        <v>0.1589305</v>
      </c>
      <c r="O61">
        <v>51</v>
      </c>
      <c r="P61" t="s">
        <v>142</v>
      </c>
      <c r="Q61">
        <v>1.3383577099999999</v>
      </c>
      <c r="R61">
        <v>0.10370262199999999</v>
      </c>
      <c r="S61">
        <v>1.0239842619999999</v>
      </c>
      <c r="T61">
        <v>66.258293199999997</v>
      </c>
    </row>
    <row r="62" spans="1:20" x14ac:dyDescent="0.2">
      <c r="A62">
        <v>52</v>
      </c>
      <c r="B62" t="s">
        <v>147</v>
      </c>
      <c r="C62">
        <v>0.113701023</v>
      </c>
      <c r="D62">
        <v>0.89658652999999999</v>
      </c>
      <c r="E62">
        <v>0.77383820000000003</v>
      </c>
      <c r="F62">
        <v>59.336015099999997</v>
      </c>
      <c r="H62">
        <v>52</v>
      </c>
      <c r="I62" t="s">
        <v>123</v>
      </c>
      <c r="J62">
        <v>0.54342889999999999</v>
      </c>
      <c r="K62">
        <v>-0.61888959899999996</v>
      </c>
      <c r="L62">
        <v>-9.0137090000000003E-2</v>
      </c>
      <c r="M62">
        <v>24.434036599999999</v>
      </c>
      <c r="O62">
        <v>52</v>
      </c>
      <c r="P62" t="s">
        <v>102</v>
      </c>
      <c r="Q62">
        <v>0.97371607000000004</v>
      </c>
      <c r="R62">
        <v>0.33547694</v>
      </c>
      <c r="S62">
        <v>1.0216585250000001</v>
      </c>
      <c r="T62">
        <v>33.942330699999999</v>
      </c>
    </row>
    <row r="63" spans="1:20" x14ac:dyDescent="0.2">
      <c r="A63">
        <v>53</v>
      </c>
      <c r="B63" t="s">
        <v>152</v>
      </c>
      <c r="C63">
        <v>-3.6981589999999999E-3</v>
      </c>
      <c r="D63">
        <v>1.1434042200000001</v>
      </c>
      <c r="E63">
        <v>0.58636820000000001</v>
      </c>
      <c r="F63">
        <v>0.76392020000000005</v>
      </c>
      <c r="H63">
        <v>53</v>
      </c>
      <c r="I63" t="s">
        <v>100</v>
      </c>
      <c r="J63">
        <v>-0.60478149999999997</v>
      </c>
      <c r="K63">
        <v>0.40309175000000003</v>
      </c>
      <c r="L63">
        <v>-0.16455059</v>
      </c>
      <c r="M63">
        <v>15.052410500000001</v>
      </c>
      <c r="O63">
        <v>53</v>
      </c>
      <c r="P63" t="s">
        <v>152</v>
      </c>
      <c r="Q63">
        <v>-0.61318943999999997</v>
      </c>
      <c r="R63">
        <v>1.7254113470000001</v>
      </c>
      <c r="S63">
        <v>0.80408239000000004</v>
      </c>
      <c r="T63">
        <v>1.4437351</v>
      </c>
    </row>
    <row r="64" spans="1:20" x14ac:dyDescent="0.2">
      <c r="A64">
        <v>54</v>
      </c>
      <c r="B64" t="s">
        <v>144</v>
      </c>
      <c r="C64">
        <v>-0.396870632</v>
      </c>
      <c r="D64">
        <v>1.0626664699999999</v>
      </c>
      <c r="E64">
        <v>0.40078760000000002</v>
      </c>
      <c r="F64">
        <v>59.482037499999997</v>
      </c>
      <c r="H64">
        <v>54</v>
      </c>
      <c r="I64" t="s">
        <v>138</v>
      </c>
      <c r="J64">
        <v>-0.52938909999999995</v>
      </c>
      <c r="K64">
        <v>-7.6716887999999997E-2</v>
      </c>
      <c r="L64">
        <v>-0.50385676000000001</v>
      </c>
      <c r="M64">
        <v>17.377440700000001</v>
      </c>
      <c r="O64">
        <v>54</v>
      </c>
      <c r="P64" t="s">
        <v>117</v>
      </c>
      <c r="Q64">
        <v>-0.42984612</v>
      </c>
      <c r="R64">
        <v>0.62612003699999996</v>
      </c>
      <c r="S64">
        <v>0.137564401</v>
      </c>
      <c r="T64">
        <v>16.4155695</v>
      </c>
    </row>
    <row r="65" spans="1:20" x14ac:dyDescent="0.2">
      <c r="A65">
        <v>55</v>
      </c>
      <c r="B65" t="s">
        <v>149</v>
      </c>
      <c r="C65">
        <v>0</v>
      </c>
      <c r="D65">
        <v>0</v>
      </c>
      <c r="E65">
        <v>0</v>
      </c>
      <c r="F65">
        <v>0.2004319</v>
      </c>
      <c r="H65">
        <v>55</v>
      </c>
      <c r="I65" t="s">
        <v>152</v>
      </c>
      <c r="J65">
        <v>-0.88570539999999998</v>
      </c>
      <c r="K65">
        <v>0.24806430400000001</v>
      </c>
      <c r="L65">
        <v>-0.54327221999999997</v>
      </c>
      <c r="M65">
        <v>2.0550563999999998</v>
      </c>
      <c r="O65">
        <v>55</v>
      </c>
      <c r="P65" t="s">
        <v>144</v>
      </c>
      <c r="Q65">
        <v>-0.47290705</v>
      </c>
      <c r="R65">
        <v>0.50346386099999996</v>
      </c>
      <c r="S65">
        <v>1.161324E-2</v>
      </c>
      <c r="T65">
        <v>66.366694100000004</v>
      </c>
    </row>
    <row r="66" spans="1:20" x14ac:dyDescent="0.2">
      <c r="A66">
        <v>56</v>
      </c>
      <c r="B66" t="s">
        <v>136</v>
      </c>
      <c r="C66">
        <v>-1.667394204</v>
      </c>
      <c r="D66">
        <v>1.3981242700000001</v>
      </c>
      <c r="E66">
        <v>-0.31125409999999998</v>
      </c>
      <c r="F66">
        <v>43.917901899999997</v>
      </c>
      <c r="H66">
        <v>56</v>
      </c>
      <c r="I66" t="s">
        <v>150</v>
      </c>
      <c r="J66">
        <v>-0.4135587</v>
      </c>
      <c r="K66">
        <v>-0.36255818299999998</v>
      </c>
      <c r="L66">
        <v>-0.60189325999999999</v>
      </c>
      <c r="M66">
        <v>0.52254469999999997</v>
      </c>
      <c r="O66">
        <v>56</v>
      </c>
      <c r="P66" t="s">
        <v>149</v>
      </c>
      <c r="Q66">
        <v>0</v>
      </c>
      <c r="R66">
        <v>0</v>
      </c>
      <c r="S66">
        <v>0</v>
      </c>
      <c r="T66">
        <v>0</v>
      </c>
    </row>
    <row r="67" spans="1:20" x14ac:dyDescent="0.2">
      <c r="A67">
        <v>57</v>
      </c>
      <c r="B67" t="s">
        <v>151</v>
      </c>
      <c r="C67">
        <v>-0.79821752400000001</v>
      </c>
      <c r="D67">
        <v>0.13760367000000001</v>
      </c>
      <c r="E67">
        <v>-0.50478310000000004</v>
      </c>
      <c r="F67">
        <v>3.4369991999999998</v>
      </c>
      <c r="H67">
        <v>57</v>
      </c>
      <c r="I67" t="s">
        <v>125</v>
      </c>
      <c r="J67">
        <v>-4.2718119999999997</v>
      </c>
      <c r="K67">
        <v>3.4378981780000002</v>
      </c>
      <c r="L67">
        <v>-0.93375505000000003</v>
      </c>
      <c r="M67">
        <v>46.086508100000003</v>
      </c>
      <c r="O67">
        <v>57</v>
      </c>
      <c r="P67" t="s">
        <v>96</v>
      </c>
      <c r="Q67">
        <v>0</v>
      </c>
      <c r="R67">
        <v>1.4370100000000001E-4</v>
      </c>
      <c r="S67">
        <v>-4.1030770000000001E-3</v>
      </c>
      <c r="T67">
        <v>0.39577950000000001</v>
      </c>
    </row>
    <row r="68" spans="1:20" x14ac:dyDescent="0.2">
      <c r="A68">
        <v>58</v>
      </c>
      <c r="B68" t="s">
        <v>121</v>
      </c>
      <c r="C68">
        <v>0.87992082599999999</v>
      </c>
      <c r="D68">
        <v>-1.6604378399999999</v>
      </c>
      <c r="E68">
        <v>-0.53741280000000002</v>
      </c>
      <c r="F68">
        <v>58.081335199999998</v>
      </c>
      <c r="H68">
        <v>58</v>
      </c>
      <c r="I68" t="s">
        <v>96</v>
      </c>
      <c r="J68">
        <v>-0.25541140000000001</v>
      </c>
      <c r="K68">
        <v>-1.448107641</v>
      </c>
      <c r="L68">
        <v>-1.11045967</v>
      </c>
      <c r="M68">
        <v>3.6448369999999999</v>
      </c>
      <c r="O68">
        <v>58</v>
      </c>
      <c r="P68" t="s">
        <v>145</v>
      </c>
      <c r="Q68">
        <v>-0.32990841999999998</v>
      </c>
      <c r="R68">
        <v>-0.35199898600000001</v>
      </c>
      <c r="S68">
        <v>-0.53491410299999997</v>
      </c>
      <c r="T68">
        <v>5.9644291999999997</v>
      </c>
    </row>
    <row r="69" spans="1:20" x14ac:dyDescent="0.2">
      <c r="A69">
        <v>59</v>
      </c>
      <c r="B69" t="s">
        <v>137</v>
      </c>
      <c r="C69">
        <v>-9.5580058999999995E-2</v>
      </c>
      <c r="D69">
        <v>-0.65708283000000001</v>
      </c>
      <c r="E69">
        <v>-0.55460430000000005</v>
      </c>
      <c r="F69">
        <v>52.807784599999998</v>
      </c>
      <c r="H69">
        <v>59</v>
      </c>
      <c r="I69" t="s">
        <v>128</v>
      </c>
      <c r="J69">
        <v>-0.97608989999999995</v>
      </c>
      <c r="K69">
        <v>-1.2986938050000001</v>
      </c>
      <c r="L69">
        <v>-1.6264782600000001</v>
      </c>
      <c r="M69">
        <v>17.395690200000001</v>
      </c>
      <c r="O69">
        <v>59</v>
      </c>
      <c r="P69" t="s">
        <v>153</v>
      </c>
      <c r="Q69">
        <v>6.4192579999999999E-2</v>
      </c>
      <c r="R69">
        <v>-0.828826544</v>
      </c>
      <c r="S69">
        <v>-0.59131377799999996</v>
      </c>
      <c r="T69">
        <v>16.032061500000001</v>
      </c>
    </row>
    <row r="70" spans="1:20" x14ac:dyDescent="0.2">
      <c r="A70">
        <v>60</v>
      </c>
      <c r="B70" t="s">
        <v>104</v>
      </c>
      <c r="C70">
        <v>3.3549076999999997E-2</v>
      </c>
      <c r="D70">
        <v>-1.0292791400000001</v>
      </c>
      <c r="E70">
        <v>-0.63979770000000002</v>
      </c>
      <c r="F70">
        <v>56.984839100000002</v>
      </c>
      <c r="H70">
        <v>60</v>
      </c>
      <c r="I70" t="s">
        <v>113</v>
      </c>
      <c r="J70">
        <v>-1.2045851000000001</v>
      </c>
      <c r="K70">
        <v>-1.0146144800000001</v>
      </c>
      <c r="L70">
        <v>-1.65821079</v>
      </c>
      <c r="M70">
        <v>51.1555702</v>
      </c>
      <c r="O70">
        <v>60</v>
      </c>
      <c r="P70" t="s">
        <v>138</v>
      </c>
      <c r="Q70">
        <v>-1.9763676699999999</v>
      </c>
      <c r="R70">
        <v>0.37882125300000002</v>
      </c>
      <c r="S70">
        <v>-1.2496400700000001</v>
      </c>
      <c r="T70">
        <v>6.8033071999999999</v>
      </c>
    </row>
    <row r="71" spans="1:20" x14ac:dyDescent="0.2">
      <c r="A71">
        <v>61</v>
      </c>
      <c r="B71" t="s">
        <v>168</v>
      </c>
      <c r="C71">
        <v>-0.50820440300000003</v>
      </c>
      <c r="D71">
        <v>-0.73613501000000003</v>
      </c>
      <c r="E71">
        <v>-0.95762440000000004</v>
      </c>
      <c r="F71">
        <v>55.444003100000003</v>
      </c>
      <c r="H71">
        <v>61</v>
      </c>
      <c r="I71" t="s">
        <v>143</v>
      </c>
      <c r="J71">
        <v>-2.3335168999999998</v>
      </c>
      <c r="K71">
        <v>-0.96658200699999997</v>
      </c>
      <c r="L71">
        <v>-2.4485224099999998</v>
      </c>
      <c r="M71">
        <v>25.157008999999999</v>
      </c>
      <c r="O71">
        <v>61</v>
      </c>
      <c r="P71" t="s">
        <v>151</v>
      </c>
      <c r="Q71">
        <v>-1.7451945</v>
      </c>
      <c r="R71">
        <v>-1.0773626650000001</v>
      </c>
      <c r="S71">
        <v>-1.921036328</v>
      </c>
      <c r="T71">
        <v>3.1310744000000001</v>
      </c>
    </row>
    <row r="72" spans="1:20" x14ac:dyDescent="0.2">
      <c r="A72" t="s">
        <v>200</v>
      </c>
      <c r="H72" t="s">
        <v>200</v>
      </c>
      <c r="O72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A045-C6F2-7849-B01A-4086190821A9}">
  <dimension ref="A1:W27"/>
  <sheetViews>
    <sheetView workbookViewId="0">
      <selection activeCell="C14" sqref="C14"/>
    </sheetView>
  </sheetViews>
  <sheetFormatPr baseColWidth="10" defaultRowHeight="16" x14ac:dyDescent="0.2"/>
  <cols>
    <col min="17" max="17" width="10" customWidth="1"/>
  </cols>
  <sheetData>
    <row r="1" spans="1:23" x14ac:dyDescent="0.2">
      <c r="A1" s="3" t="s">
        <v>83</v>
      </c>
      <c r="I1" s="3" t="s">
        <v>84</v>
      </c>
      <c r="Q1" s="3" t="s">
        <v>85</v>
      </c>
    </row>
    <row r="2" spans="1:23" x14ac:dyDescent="0.2">
      <c r="A2" s="18" t="s">
        <v>75</v>
      </c>
      <c r="B2" s="4">
        <v>0.57430000000000003</v>
      </c>
      <c r="I2" s="18" t="s">
        <v>75</v>
      </c>
      <c r="J2" s="4">
        <v>0.56140000000000001</v>
      </c>
      <c r="Q2" s="18" t="s">
        <v>75</v>
      </c>
      <c r="R2" s="4">
        <v>0.56140000000000001</v>
      </c>
    </row>
    <row r="3" spans="1:23" x14ac:dyDescent="0.2">
      <c r="A3" s="3"/>
      <c r="I3" s="3"/>
      <c r="Q3" s="3"/>
    </row>
    <row r="4" spans="1:23" x14ac:dyDescent="0.2">
      <c r="A4" s="3"/>
      <c r="B4" s="3" t="s">
        <v>154</v>
      </c>
      <c r="C4" s="3" t="s">
        <v>155</v>
      </c>
      <c r="D4" s="3" t="s">
        <v>71</v>
      </c>
      <c r="E4" s="3" t="s">
        <v>72</v>
      </c>
      <c r="F4" s="3" t="s">
        <v>73</v>
      </c>
      <c r="G4" s="3" t="s">
        <v>74</v>
      </c>
      <c r="I4" s="3"/>
      <c r="J4" s="3" t="s">
        <v>154</v>
      </c>
      <c r="K4" s="3" t="s">
        <v>155</v>
      </c>
      <c r="L4" s="3" t="s">
        <v>71</v>
      </c>
      <c r="M4" s="3" t="s">
        <v>72</v>
      </c>
      <c r="N4" s="3" t="s">
        <v>73</v>
      </c>
      <c r="O4" s="3" t="s">
        <v>74</v>
      </c>
      <c r="Q4" s="3"/>
      <c r="R4" s="3" t="s">
        <v>154</v>
      </c>
      <c r="S4" s="3" t="s">
        <v>155</v>
      </c>
      <c r="T4" s="3" t="s">
        <v>71</v>
      </c>
      <c r="U4" s="3" t="s">
        <v>72</v>
      </c>
      <c r="V4" s="3" t="s">
        <v>73</v>
      </c>
      <c r="W4" s="3" t="s">
        <v>74</v>
      </c>
    </row>
    <row r="6" spans="1:23" x14ac:dyDescent="0.2">
      <c r="A6">
        <v>1</v>
      </c>
      <c r="B6" t="s">
        <v>79</v>
      </c>
      <c r="C6">
        <v>0.74436891900000002</v>
      </c>
      <c r="D6">
        <v>0.95</v>
      </c>
      <c r="E6">
        <v>0.70134207800000004</v>
      </c>
      <c r="F6">
        <v>0.78762701700000004</v>
      </c>
      <c r="G6">
        <v>0.74436891900000002</v>
      </c>
      <c r="I6">
        <v>1</v>
      </c>
      <c r="J6" t="s">
        <v>79</v>
      </c>
      <c r="K6">
        <v>0.35992958870000002</v>
      </c>
      <c r="L6">
        <v>0.95</v>
      </c>
      <c r="M6">
        <v>0.318743744</v>
      </c>
      <c r="N6">
        <v>0.40122000489999998</v>
      </c>
      <c r="O6">
        <v>0.35992958870000002</v>
      </c>
      <c r="Q6">
        <v>1</v>
      </c>
      <c r="R6" t="s">
        <v>79</v>
      </c>
      <c r="S6">
        <v>1.0276915950000001</v>
      </c>
      <c r="T6">
        <v>0.95</v>
      </c>
      <c r="U6">
        <v>0.98258523499999995</v>
      </c>
      <c r="V6">
        <v>1.073137843</v>
      </c>
      <c r="W6">
        <v>1.0276915950000001</v>
      </c>
    </row>
    <row r="7" spans="1:23" x14ac:dyDescent="0.2">
      <c r="A7">
        <v>2</v>
      </c>
      <c r="B7" t="s">
        <v>92</v>
      </c>
      <c r="C7">
        <v>-0.19817315499999999</v>
      </c>
      <c r="D7">
        <v>0.95</v>
      </c>
      <c r="E7">
        <v>-0.244928534</v>
      </c>
      <c r="F7">
        <v>-0.15198491</v>
      </c>
      <c r="G7">
        <v>0.19817315499999999</v>
      </c>
      <c r="I7">
        <v>2</v>
      </c>
      <c r="J7" t="s">
        <v>165</v>
      </c>
      <c r="K7">
        <v>0.1240366505</v>
      </c>
      <c r="L7">
        <v>0.95</v>
      </c>
      <c r="M7">
        <v>8.1618446999999997E-2</v>
      </c>
      <c r="N7">
        <v>0.16656069700000001</v>
      </c>
      <c r="O7">
        <v>0.1240366505</v>
      </c>
      <c r="Q7">
        <v>2</v>
      </c>
      <c r="R7" t="s">
        <v>92</v>
      </c>
      <c r="S7">
        <v>-0.12638500799999999</v>
      </c>
      <c r="T7">
        <v>0.95</v>
      </c>
      <c r="U7">
        <v>-0.18083185199999999</v>
      </c>
      <c r="V7">
        <v>-7.3507917000000006E-2</v>
      </c>
      <c r="W7">
        <v>0.12638500799999999</v>
      </c>
    </row>
    <row r="8" spans="1:23" x14ac:dyDescent="0.2">
      <c r="A8">
        <v>3</v>
      </c>
      <c r="B8" t="s">
        <v>98</v>
      </c>
      <c r="C8">
        <v>9.8055461999999996E-2</v>
      </c>
      <c r="D8">
        <v>0.95</v>
      </c>
      <c r="E8">
        <v>4.9936746999999997E-2</v>
      </c>
      <c r="F8">
        <v>0.14630421599999999</v>
      </c>
      <c r="G8">
        <v>9.8055461999999996E-2</v>
      </c>
      <c r="I8">
        <v>3</v>
      </c>
      <c r="J8" t="s">
        <v>93</v>
      </c>
      <c r="K8">
        <v>9.5017855900000003E-2</v>
      </c>
      <c r="L8">
        <v>0.95</v>
      </c>
      <c r="M8">
        <v>5.3172621000000003E-2</v>
      </c>
      <c r="N8">
        <v>0.1371272982</v>
      </c>
      <c r="O8">
        <v>9.5017855900000003E-2</v>
      </c>
      <c r="Q8">
        <v>3</v>
      </c>
      <c r="R8" t="s">
        <v>93</v>
      </c>
      <c r="S8">
        <v>0.105623986</v>
      </c>
      <c r="T8">
        <v>0.95</v>
      </c>
      <c r="U8">
        <v>6.0891096999999998E-2</v>
      </c>
      <c r="V8">
        <v>0.150347447</v>
      </c>
      <c r="W8">
        <v>0.105623986</v>
      </c>
    </row>
    <row r="9" spans="1:23" x14ac:dyDescent="0.2">
      <c r="A9">
        <v>4</v>
      </c>
      <c r="B9" t="s">
        <v>109</v>
      </c>
      <c r="C9">
        <v>-7.8279978E-2</v>
      </c>
      <c r="D9">
        <v>0.95</v>
      </c>
      <c r="E9">
        <v>-0.125032533</v>
      </c>
      <c r="F9">
        <v>-3.1632590000000002E-2</v>
      </c>
      <c r="G9">
        <v>7.8279978E-2</v>
      </c>
      <c r="I9">
        <v>4</v>
      </c>
      <c r="J9" t="s">
        <v>90</v>
      </c>
      <c r="K9">
        <v>-8.8485196899999993E-2</v>
      </c>
      <c r="L9">
        <v>0.95</v>
      </c>
      <c r="M9">
        <v>-0.13436804499999999</v>
      </c>
      <c r="N9">
        <v>-4.27407281E-2</v>
      </c>
      <c r="O9">
        <v>8.8485196899999993E-2</v>
      </c>
      <c r="Q9">
        <v>4</v>
      </c>
      <c r="R9" t="s">
        <v>127</v>
      </c>
      <c r="S9">
        <v>-0.10299036</v>
      </c>
      <c r="T9">
        <v>0.95</v>
      </c>
      <c r="U9">
        <v>-0.153709384</v>
      </c>
      <c r="V9">
        <v>-5.2352756E-2</v>
      </c>
      <c r="W9">
        <v>0.10299036</v>
      </c>
    </row>
    <row r="10" spans="1:23" x14ac:dyDescent="0.2">
      <c r="A10">
        <v>5</v>
      </c>
      <c r="B10" t="s">
        <v>111</v>
      </c>
      <c r="C10">
        <v>-6.7953713999999998E-2</v>
      </c>
      <c r="D10">
        <v>0.95</v>
      </c>
      <c r="E10">
        <v>-0.130018415</v>
      </c>
      <c r="F10">
        <v>-6.1267489999999999E-3</v>
      </c>
      <c r="G10">
        <v>6.7953713999999998E-2</v>
      </c>
      <c r="I10">
        <v>5</v>
      </c>
      <c r="J10" t="s">
        <v>137</v>
      </c>
      <c r="K10">
        <v>8.3179041300000006E-2</v>
      </c>
      <c r="L10">
        <v>0.95</v>
      </c>
      <c r="M10">
        <v>4.1359290999999999E-2</v>
      </c>
      <c r="N10">
        <v>0.1250965161</v>
      </c>
      <c r="O10">
        <v>8.3179041300000006E-2</v>
      </c>
      <c r="Q10">
        <v>5</v>
      </c>
      <c r="R10" t="s">
        <v>111</v>
      </c>
      <c r="S10">
        <v>-9.4714499999999993E-2</v>
      </c>
      <c r="T10">
        <v>0.95</v>
      </c>
      <c r="U10">
        <v>-0.15124425999999999</v>
      </c>
      <c r="V10">
        <v>-3.8580822000000001E-2</v>
      </c>
      <c r="W10">
        <v>9.4714499999999993E-2</v>
      </c>
    </row>
    <row r="11" spans="1:23" x14ac:dyDescent="0.2">
      <c r="A11">
        <v>6</v>
      </c>
      <c r="B11" t="s">
        <v>91</v>
      </c>
      <c r="C11">
        <v>6.7941539999999995E-2</v>
      </c>
      <c r="D11">
        <v>0.95</v>
      </c>
      <c r="E11">
        <v>1.0465988000000001E-2</v>
      </c>
      <c r="F11">
        <v>0.12553112699999999</v>
      </c>
      <c r="G11">
        <v>6.7941539999999995E-2</v>
      </c>
      <c r="I11">
        <v>6</v>
      </c>
      <c r="J11" t="s">
        <v>128</v>
      </c>
      <c r="K11">
        <v>5.16326524E-2</v>
      </c>
      <c r="L11">
        <v>0.95</v>
      </c>
      <c r="M11">
        <v>9.6442160000000006E-3</v>
      </c>
      <c r="N11">
        <v>9.3853388999999995E-2</v>
      </c>
      <c r="O11">
        <v>5.16326524E-2</v>
      </c>
      <c r="Q11">
        <v>6</v>
      </c>
      <c r="R11" t="s">
        <v>91</v>
      </c>
      <c r="S11">
        <v>8.0587269000000003E-2</v>
      </c>
      <c r="T11">
        <v>0.95</v>
      </c>
      <c r="U11">
        <v>2.4307748000000001E-2</v>
      </c>
      <c r="V11">
        <v>0.13698659999999999</v>
      </c>
      <c r="W11">
        <v>8.0587269000000003E-2</v>
      </c>
    </row>
    <row r="12" spans="1:23" x14ac:dyDescent="0.2">
      <c r="A12">
        <v>7</v>
      </c>
      <c r="B12" t="s">
        <v>93</v>
      </c>
      <c r="C12">
        <v>6.3576576999999995E-2</v>
      </c>
      <c r="D12">
        <v>0.95</v>
      </c>
      <c r="E12">
        <v>2.0076210000000001E-2</v>
      </c>
      <c r="F12">
        <v>0.10713802</v>
      </c>
      <c r="G12">
        <v>6.3576576999999995E-2</v>
      </c>
      <c r="I12">
        <v>7</v>
      </c>
      <c r="J12" t="s">
        <v>130</v>
      </c>
      <c r="K12">
        <v>-4.1557770100000002E-2</v>
      </c>
      <c r="L12">
        <v>0.95</v>
      </c>
      <c r="M12">
        <v>-8.3447358999999999E-2</v>
      </c>
      <c r="N12">
        <v>2.9628279999999998E-4</v>
      </c>
      <c r="O12">
        <v>4.1557770100000002E-2</v>
      </c>
      <c r="Q12">
        <v>7</v>
      </c>
      <c r="R12" t="s">
        <v>119</v>
      </c>
      <c r="S12">
        <v>-7.2987445999999997E-2</v>
      </c>
      <c r="T12">
        <v>0.95</v>
      </c>
      <c r="U12">
        <v>-0.11896195499999999</v>
      </c>
      <c r="V12">
        <v>-2.7144735E-2</v>
      </c>
      <c r="W12">
        <v>7.2987445999999997E-2</v>
      </c>
    </row>
    <row r="13" spans="1:23" x14ac:dyDescent="0.2">
      <c r="A13">
        <v>8</v>
      </c>
      <c r="B13" t="s">
        <v>102</v>
      </c>
      <c r="C13">
        <v>5.9166034999999999E-2</v>
      </c>
      <c r="D13">
        <v>0.95</v>
      </c>
      <c r="E13">
        <v>1.4515485999999999E-2</v>
      </c>
      <c r="F13">
        <v>0.10396182499999999</v>
      </c>
      <c r="G13">
        <v>5.9166034999999999E-2</v>
      </c>
      <c r="I13">
        <v>8</v>
      </c>
      <c r="J13" t="s">
        <v>97</v>
      </c>
      <c r="K13">
        <v>3.9118141600000003E-2</v>
      </c>
      <c r="L13">
        <v>0.95</v>
      </c>
      <c r="M13">
        <v>-3.5343330000000002E-3</v>
      </c>
      <c r="N13">
        <v>8.1993136100000003E-2</v>
      </c>
      <c r="O13">
        <v>3.9118141600000003E-2</v>
      </c>
      <c r="Q13">
        <v>8</v>
      </c>
      <c r="R13" t="s">
        <v>167</v>
      </c>
      <c r="S13">
        <v>-5.9457395000000003E-2</v>
      </c>
      <c r="T13">
        <v>0.95</v>
      </c>
      <c r="U13">
        <v>-0.13282811</v>
      </c>
      <c r="V13">
        <v>1.3842831E-2</v>
      </c>
      <c r="W13">
        <v>5.9457395000000003E-2</v>
      </c>
    </row>
    <row r="14" spans="1:23" x14ac:dyDescent="0.2">
      <c r="A14">
        <v>9</v>
      </c>
      <c r="B14" t="s">
        <v>128</v>
      </c>
      <c r="C14">
        <v>5.8302192000000003E-2</v>
      </c>
      <c r="D14">
        <v>0.95</v>
      </c>
      <c r="E14">
        <v>1.4942387E-2</v>
      </c>
      <c r="F14">
        <v>0.101448937</v>
      </c>
      <c r="G14">
        <v>5.8302192000000003E-2</v>
      </c>
      <c r="I14">
        <v>9</v>
      </c>
      <c r="J14" t="s">
        <v>135</v>
      </c>
      <c r="K14">
        <v>3.4541422000000002E-2</v>
      </c>
      <c r="L14">
        <v>0.95</v>
      </c>
      <c r="M14">
        <v>-9.3134169999999992E-3</v>
      </c>
      <c r="N14">
        <v>7.8428833099999998E-2</v>
      </c>
      <c r="O14">
        <v>3.4541422000000002E-2</v>
      </c>
      <c r="Q14">
        <v>9</v>
      </c>
      <c r="R14" t="s">
        <v>126</v>
      </c>
      <c r="S14">
        <v>5.9123454999999998E-2</v>
      </c>
      <c r="T14">
        <v>0.95</v>
      </c>
      <c r="U14">
        <v>8.3024229999999997E-3</v>
      </c>
      <c r="V14">
        <v>0.110008619</v>
      </c>
      <c r="W14">
        <v>5.9123454999999998E-2</v>
      </c>
    </row>
    <row r="15" spans="1:23" x14ac:dyDescent="0.2">
      <c r="A15">
        <v>10</v>
      </c>
      <c r="B15" t="s">
        <v>90</v>
      </c>
      <c r="C15">
        <v>-4.2813212000000003E-2</v>
      </c>
      <c r="D15">
        <v>0.95</v>
      </c>
      <c r="E15">
        <v>-8.777045E-2</v>
      </c>
      <c r="F15">
        <v>2.2011449999999998E-3</v>
      </c>
      <c r="G15">
        <v>4.2813212000000003E-2</v>
      </c>
      <c r="I15">
        <v>10</v>
      </c>
      <c r="J15" t="s">
        <v>166</v>
      </c>
      <c r="K15">
        <v>3.1571722500000003E-2</v>
      </c>
      <c r="L15">
        <v>0.95</v>
      </c>
      <c r="M15">
        <v>-3.5934414999999997E-2</v>
      </c>
      <c r="N15">
        <v>9.9133038199999995E-2</v>
      </c>
      <c r="O15">
        <v>3.1571722500000003E-2</v>
      </c>
      <c r="Q15">
        <v>10</v>
      </c>
      <c r="R15" t="s">
        <v>112</v>
      </c>
      <c r="S15">
        <v>-5.5262805999999998E-2</v>
      </c>
      <c r="T15">
        <v>0.95</v>
      </c>
      <c r="U15">
        <v>-0.111892139</v>
      </c>
      <c r="V15">
        <v>1.3165939999999999E-3</v>
      </c>
      <c r="W15">
        <v>5.5262805999999998E-2</v>
      </c>
    </row>
    <row r="16" spans="1:23" x14ac:dyDescent="0.2">
      <c r="A16">
        <v>11</v>
      </c>
      <c r="B16" t="s">
        <v>96</v>
      </c>
      <c r="C16">
        <v>-3.7903652000000003E-2</v>
      </c>
      <c r="D16">
        <v>0.95</v>
      </c>
      <c r="E16">
        <v>-8.3763023000000006E-2</v>
      </c>
      <c r="F16">
        <v>7.7960420000000004E-3</v>
      </c>
      <c r="G16">
        <v>3.7903652000000003E-2</v>
      </c>
      <c r="I16">
        <v>11</v>
      </c>
      <c r="J16" t="s">
        <v>104</v>
      </c>
      <c r="K16">
        <v>2.4667412999999999E-2</v>
      </c>
      <c r="L16">
        <v>0.95</v>
      </c>
      <c r="M16">
        <v>-1.8592228999999998E-2</v>
      </c>
      <c r="N16">
        <v>6.7969676300000004E-2</v>
      </c>
      <c r="O16">
        <v>2.4667412999999999E-2</v>
      </c>
      <c r="Q16">
        <v>11</v>
      </c>
      <c r="R16" t="s">
        <v>98</v>
      </c>
      <c r="S16">
        <v>5.3675014E-2</v>
      </c>
      <c r="T16">
        <v>0.95</v>
      </c>
      <c r="U16">
        <v>3.7332400000000001E-3</v>
      </c>
      <c r="V16">
        <v>0.103771749</v>
      </c>
      <c r="W16">
        <v>5.3675014E-2</v>
      </c>
    </row>
    <row r="17" spans="1:23" x14ac:dyDescent="0.2">
      <c r="A17">
        <v>12</v>
      </c>
      <c r="B17" t="s">
        <v>107</v>
      </c>
      <c r="C17">
        <v>3.7514690000000003E-2</v>
      </c>
      <c r="D17">
        <v>0.95</v>
      </c>
      <c r="E17">
        <v>-6.8695020000000004E-3</v>
      </c>
      <c r="F17">
        <v>8.2098121999999996E-2</v>
      </c>
      <c r="G17">
        <v>3.7514690000000003E-2</v>
      </c>
      <c r="I17">
        <v>12</v>
      </c>
      <c r="J17" t="s">
        <v>91</v>
      </c>
      <c r="K17">
        <v>-2.4019738799999999E-2</v>
      </c>
      <c r="L17">
        <v>0.95</v>
      </c>
      <c r="M17">
        <v>-6.5654995999999993E-2</v>
      </c>
      <c r="N17">
        <v>1.73418236E-2</v>
      </c>
      <c r="O17">
        <v>2.4019738799999999E-2</v>
      </c>
      <c r="Q17">
        <v>12</v>
      </c>
      <c r="R17" t="s">
        <v>117</v>
      </c>
      <c r="S17">
        <v>-3.4694693999999998E-2</v>
      </c>
      <c r="T17">
        <v>0.95</v>
      </c>
      <c r="U17">
        <v>-8.2371397999999998E-2</v>
      </c>
      <c r="V17">
        <v>1.2399828999999999E-2</v>
      </c>
      <c r="W17">
        <v>3.4694693999999998E-2</v>
      </c>
    </row>
    <row r="18" spans="1:23" x14ac:dyDescent="0.2">
      <c r="A18">
        <v>13</v>
      </c>
      <c r="B18" t="s">
        <v>114</v>
      </c>
      <c r="C18">
        <v>2.2999561000000002E-2</v>
      </c>
      <c r="D18">
        <v>0.95</v>
      </c>
      <c r="E18">
        <v>-2.3126961000000001E-2</v>
      </c>
      <c r="F18">
        <v>6.9175813000000003E-2</v>
      </c>
      <c r="G18">
        <v>2.2999561000000002E-2</v>
      </c>
      <c r="I18">
        <v>13</v>
      </c>
      <c r="J18" t="s">
        <v>139</v>
      </c>
      <c r="K18">
        <v>2.37832654E-2</v>
      </c>
      <c r="L18">
        <v>0.95</v>
      </c>
      <c r="M18">
        <v>-1.9727432E-2</v>
      </c>
      <c r="N18">
        <v>6.7324861E-2</v>
      </c>
      <c r="O18">
        <v>2.37832654E-2</v>
      </c>
      <c r="Q18">
        <v>13</v>
      </c>
      <c r="R18" t="s">
        <v>90</v>
      </c>
      <c r="S18">
        <v>-3.3030215000000002E-2</v>
      </c>
      <c r="T18">
        <v>0.95</v>
      </c>
      <c r="U18">
        <v>-8.0222929999999998E-2</v>
      </c>
      <c r="V18">
        <v>1.4116132E-2</v>
      </c>
      <c r="W18">
        <v>3.3030215000000002E-2</v>
      </c>
    </row>
    <row r="19" spans="1:23" x14ac:dyDescent="0.2">
      <c r="A19">
        <v>14</v>
      </c>
      <c r="B19" t="s">
        <v>116</v>
      </c>
      <c r="C19">
        <v>-1.9871124E-2</v>
      </c>
      <c r="D19">
        <v>0.95</v>
      </c>
      <c r="E19">
        <v>-6.3255589000000001E-2</v>
      </c>
      <c r="F19">
        <v>2.3424312999999999E-2</v>
      </c>
      <c r="G19">
        <v>1.9871124E-2</v>
      </c>
      <c r="I19">
        <v>14</v>
      </c>
      <c r="J19" t="s">
        <v>113</v>
      </c>
      <c r="K19">
        <v>-1.7079774700000001E-2</v>
      </c>
      <c r="L19">
        <v>0.95</v>
      </c>
      <c r="M19">
        <v>-5.9376628000000001E-2</v>
      </c>
      <c r="N19">
        <v>2.51936551E-2</v>
      </c>
      <c r="O19">
        <v>1.7079774700000001E-2</v>
      </c>
      <c r="Q19">
        <v>14</v>
      </c>
      <c r="R19" t="s">
        <v>165</v>
      </c>
      <c r="S19">
        <v>3.2798639999999997E-2</v>
      </c>
      <c r="T19">
        <v>0.95</v>
      </c>
      <c r="U19">
        <v>-1.4161671000000001E-2</v>
      </c>
      <c r="V19">
        <v>7.9759000999999996E-2</v>
      </c>
      <c r="W19">
        <v>3.2798639999999997E-2</v>
      </c>
    </row>
    <row r="20" spans="1:23" x14ac:dyDescent="0.2">
      <c r="A20">
        <v>15</v>
      </c>
      <c r="B20" t="s">
        <v>112</v>
      </c>
      <c r="C20">
        <v>1.7542015000000001E-2</v>
      </c>
      <c r="D20">
        <v>0.95</v>
      </c>
      <c r="E20">
        <v>-2.7281558000000001E-2</v>
      </c>
      <c r="F20">
        <v>6.2367911999999998E-2</v>
      </c>
      <c r="G20">
        <v>1.7542015000000001E-2</v>
      </c>
      <c r="I20">
        <v>15</v>
      </c>
      <c r="J20" t="s">
        <v>168</v>
      </c>
      <c r="K20">
        <v>1.5209175300000001E-2</v>
      </c>
      <c r="L20">
        <v>0.95</v>
      </c>
      <c r="M20">
        <v>-2.8393781999999999E-2</v>
      </c>
      <c r="N20">
        <v>5.8836330999999999E-2</v>
      </c>
      <c r="O20">
        <v>1.5209175300000001E-2</v>
      </c>
      <c r="Q20">
        <v>15</v>
      </c>
      <c r="R20" t="s">
        <v>168</v>
      </c>
      <c r="S20">
        <v>-2.6433228E-2</v>
      </c>
      <c r="T20">
        <v>0.95</v>
      </c>
      <c r="U20">
        <v>-8.2632753000000003E-2</v>
      </c>
      <c r="V20">
        <v>2.9745512000000002E-2</v>
      </c>
      <c r="W20">
        <v>2.6433228E-2</v>
      </c>
    </row>
    <row r="21" spans="1:23" x14ac:dyDescent="0.2">
      <c r="A21">
        <v>16</v>
      </c>
      <c r="B21" t="s">
        <v>123</v>
      </c>
      <c r="C21">
        <v>1.6615774999999999E-2</v>
      </c>
      <c r="D21">
        <v>0.95</v>
      </c>
      <c r="E21">
        <v>-2.7827171000000001E-2</v>
      </c>
      <c r="F21">
        <v>6.1060999999999997E-2</v>
      </c>
      <c r="G21">
        <v>1.6615774999999999E-2</v>
      </c>
      <c r="I21">
        <v>16</v>
      </c>
      <c r="J21" t="s">
        <v>114</v>
      </c>
      <c r="K21">
        <v>-1.30086692E-2</v>
      </c>
      <c r="L21">
        <v>0.95</v>
      </c>
      <c r="M21">
        <v>-5.8800778999999997E-2</v>
      </c>
      <c r="N21">
        <v>3.2771768600000001E-2</v>
      </c>
      <c r="O21">
        <v>1.30086692E-2</v>
      </c>
      <c r="Q21">
        <v>16</v>
      </c>
      <c r="R21" t="s">
        <v>97</v>
      </c>
      <c r="S21">
        <v>2.6295743999999999E-2</v>
      </c>
      <c r="T21">
        <v>0.95</v>
      </c>
      <c r="U21">
        <v>-3.4399169E-2</v>
      </c>
      <c r="V21">
        <v>8.7069163000000005E-2</v>
      </c>
      <c r="W21">
        <v>2.6295743999999999E-2</v>
      </c>
    </row>
    <row r="22" spans="1:23" x14ac:dyDescent="0.2">
      <c r="A22">
        <v>17</v>
      </c>
      <c r="B22" t="s">
        <v>120</v>
      </c>
      <c r="C22">
        <v>1.2535988E-2</v>
      </c>
      <c r="D22">
        <v>0.95</v>
      </c>
      <c r="E22">
        <v>-3.3074112000000003E-2</v>
      </c>
      <c r="F22">
        <v>5.8210492000000003E-2</v>
      </c>
      <c r="G22">
        <v>1.2535988E-2</v>
      </c>
      <c r="I22">
        <v>17</v>
      </c>
      <c r="J22" t="s">
        <v>143</v>
      </c>
      <c r="K22">
        <v>8.3472961999999998E-3</v>
      </c>
      <c r="L22">
        <v>0.95</v>
      </c>
      <c r="M22">
        <v>-3.3698148999999997E-2</v>
      </c>
      <c r="N22">
        <v>5.0517347599999998E-2</v>
      </c>
      <c r="O22">
        <v>8.3472961999999998E-3</v>
      </c>
      <c r="Q22">
        <v>17</v>
      </c>
      <c r="R22" t="s">
        <v>114</v>
      </c>
      <c r="S22">
        <v>1.7956811E-2</v>
      </c>
      <c r="T22">
        <v>0.95</v>
      </c>
      <c r="U22">
        <v>-3.0311533000000002E-2</v>
      </c>
      <c r="V22">
        <v>6.6273314999999999E-2</v>
      </c>
      <c r="W22">
        <v>1.7956811E-2</v>
      </c>
    </row>
    <row r="23" spans="1:23" x14ac:dyDescent="0.2">
      <c r="A23">
        <v>18</v>
      </c>
      <c r="B23" t="s">
        <v>166</v>
      </c>
      <c r="C23">
        <v>-8.5570830000000001E-3</v>
      </c>
      <c r="D23">
        <v>0.95</v>
      </c>
      <c r="E23">
        <v>-5.6844682000000001E-2</v>
      </c>
      <c r="F23">
        <v>3.9699944000000001E-2</v>
      </c>
      <c r="G23">
        <v>8.5570830000000001E-3</v>
      </c>
      <c r="I23">
        <v>18</v>
      </c>
      <c r="J23" t="s">
        <v>94</v>
      </c>
      <c r="K23">
        <v>5.0993471999999998E-3</v>
      </c>
      <c r="L23">
        <v>0.95</v>
      </c>
      <c r="M23">
        <v>-3.6969206999999997E-2</v>
      </c>
      <c r="N23">
        <v>4.7119586200000001E-2</v>
      </c>
      <c r="O23">
        <v>5.0993471999999998E-3</v>
      </c>
      <c r="Q23">
        <v>18</v>
      </c>
      <c r="R23" t="s">
        <v>148</v>
      </c>
      <c r="S23">
        <v>-1.7739833999999999E-2</v>
      </c>
      <c r="T23">
        <v>0.95</v>
      </c>
      <c r="U23">
        <v>-6.8532102999999997E-2</v>
      </c>
      <c r="V23">
        <v>3.2948094999999997E-2</v>
      </c>
      <c r="W23">
        <v>1.7739833999999999E-2</v>
      </c>
    </row>
    <row r="24" spans="1:23" x14ac:dyDescent="0.2">
      <c r="A24">
        <v>19</v>
      </c>
      <c r="B24" t="s">
        <v>100</v>
      </c>
      <c r="C24">
        <v>-6.6840090000000003E-3</v>
      </c>
      <c r="D24">
        <v>0.95</v>
      </c>
      <c r="E24">
        <v>-5.2765977999999998E-2</v>
      </c>
      <c r="F24">
        <v>3.9216326000000003E-2</v>
      </c>
      <c r="G24">
        <v>6.6840090000000003E-3</v>
      </c>
      <c r="I24">
        <v>19</v>
      </c>
      <c r="J24" t="s">
        <v>112</v>
      </c>
      <c r="K24">
        <v>4.6685364999999998E-3</v>
      </c>
      <c r="L24">
        <v>0.95</v>
      </c>
      <c r="M24">
        <v>-3.9254936999999997E-2</v>
      </c>
      <c r="N24">
        <v>4.8613088399999997E-2</v>
      </c>
      <c r="O24">
        <v>4.6685364999999998E-3</v>
      </c>
      <c r="Q24">
        <v>19</v>
      </c>
      <c r="R24" t="s">
        <v>153</v>
      </c>
      <c r="S24">
        <v>-5.0762749999999999E-3</v>
      </c>
      <c r="T24">
        <v>0.95</v>
      </c>
      <c r="U24">
        <v>-5.1244818999999997E-2</v>
      </c>
      <c r="V24">
        <v>4.1013037000000002E-2</v>
      </c>
      <c r="W24">
        <v>5.0762749999999999E-3</v>
      </c>
    </row>
    <row r="25" spans="1:23" x14ac:dyDescent="0.2">
      <c r="A25">
        <v>20</v>
      </c>
      <c r="B25" t="s">
        <v>94</v>
      </c>
      <c r="C25">
        <v>-3.135812E-3</v>
      </c>
      <c r="D25">
        <v>0.95</v>
      </c>
      <c r="E25">
        <v>-4.6798556999999998E-2</v>
      </c>
      <c r="F25">
        <v>4.0578141999999998E-2</v>
      </c>
      <c r="G25">
        <v>3.135812E-3</v>
      </c>
      <c r="I25">
        <v>20</v>
      </c>
      <c r="J25" t="s">
        <v>123</v>
      </c>
      <c r="K25">
        <v>-6.2982830000000002E-4</v>
      </c>
      <c r="L25">
        <v>0.95</v>
      </c>
      <c r="M25">
        <v>-4.2399723E-2</v>
      </c>
      <c r="N25">
        <v>4.1136237899999997E-2</v>
      </c>
      <c r="O25">
        <v>6.2982830000000002E-4</v>
      </c>
      <c r="Q25">
        <v>20</v>
      </c>
      <c r="R25" t="s">
        <v>107</v>
      </c>
      <c r="S25">
        <v>-4.2641659999999998E-3</v>
      </c>
      <c r="T25">
        <v>0.95</v>
      </c>
      <c r="U25">
        <v>-4.9966626E-2</v>
      </c>
      <c r="V25">
        <v>4.1314847000000002E-2</v>
      </c>
      <c r="W25">
        <v>4.2641659999999998E-3</v>
      </c>
    </row>
    <row r="26" spans="1:23" x14ac:dyDescent="0.2">
      <c r="A26">
        <v>21</v>
      </c>
      <c r="B26" t="s">
        <v>132</v>
      </c>
      <c r="C26">
        <v>-1.8103800000000001E-3</v>
      </c>
      <c r="D26">
        <v>0.95</v>
      </c>
      <c r="E26">
        <v>-4.4976516000000001E-2</v>
      </c>
      <c r="F26">
        <v>4.1397752000000003E-2</v>
      </c>
      <c r="G26">
        <v>1.8103800000000001E-3</v>
      </c>
      <c r="I26">
        <v>21</v>
      </c>
      <c r="J26" t="s">
        <v>99</v>
      </c>
      <c r="K26">
        <v>-3.5592019999999998E-4</v>
      </c>
      <c r="L26">
        <v>0.95</v>
      </c>
      <c r="M26">
        <v>-6.8437467000000002E-2</v>
      </c>
      <c r="N26">
        <v>6.7659136999999994E-2</v>
      </c>
      <c r="O26">
        <v>3.5592019999999998E-4</v>
      </c>
      <c r="Q26">
        <v>21</v>
      </c>
      <c r="R26" t="s">
        <v>130</v>
      </c>
      <c r="S26">
        <v>-1.5739770000000001E-3</v>
      </c>
      <c r="T26">
        <v>0.95</v>
      </c>
      <c r="U26">
        <v>-4.7320832E-2</v>
      </c>
      <c r="V26">
        <v>4.4143760999999997E-2</v>
      </c>
      <c r="W26">
        <v>1.5739770000000001E-3</v>
      </c>
    </row>
    <row r="27" spans="1:23" x14ac:dyDescent="0.2">
      <c r="A27" t="s">
        <v>169</v>
      </c>
      <c r="I27" t="s">
        <v>169</v>
      </c>
      <c r="Q27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1A92-4C0D-7749-9E22-8B8E0BA946C2}">
  <dimension ref="A1:T133"/>
  <sheetViews>
    <sheetView workbookViewId="0">
      <selection activeCell="G18" sqref="G18"/>
    </sheetView>
  </sheetViews>
  <sheetFormatPr baseColWidth="10" defaultRowHeight="16" x14ac:dyDescent="0.2"/>
  <sheetData>
    <row r="1" spans="1:20" x14ac:dyDescent="0.2">
      <c r="A1" s="3" t="s">
        <v>83</v>
      </c>
      <c r="H1" s="3" t="s">
        <v>84</v>
      </c>
      <c r="O1" s="3" t="s">
        <v>85</v>
      </c>
    </row>
    <row r="2" spans="1:20" x14ac:dyDescent="0.2">
      <c r="A2" s="3"/>
      <c r="H2" s="3"/>
      <c r="O2" s="3"/>
    </row>
    <row r="3" spans="1:20" x14ac:dyDescent="0.2">
      <c r="A3" s="18" t="s">
        <v>202</v>
      </c>
      <c r="H3" s="18" t="s">
        <v>205</v>
      </c>
      <c r="O3" s="18" t="s">
        <v>201</v>
      </c>
    </row>
    <row r="4" spans="1:20" x14ac:dyDescent="0.2">
      <c r="A4" s="18" t="s">
        <v>173</v>
      </c>
      <c r="H4" s="18" t="s">
        <v>173</v>
      </c>
      <c r="O4" s="18" t="s">
        <v>173</v>
      </c>
    </row>
    <row r="5" spans="1:20" x14ac:dyDescent="0.2">
      <c r="A5" s="18" t="s">
        <v>174</v>
      </c>
      <c r="H5" s="18" t="s">
        <v>174</v>
      </c>
      <c r="O5" s="18" t="s">
        <v>174</v>
      </c>
    </row>
    <row r="6" spans="1:20" x14ac:dyDescent="0.2">
      <c r="A6" s="18" t="s">
        <v>203</v>
      </c>
      <c r="H6" s="18" t="s">
        <v>206</v>
      </c>
      <c r="O6" s="18" t="s">
        <v>208</v>
      </c>
    </row>
    <row r="7" spans="1:20" x14ac:dyDescent="0.2">
      <c r="A7" s="18" t="s">
        <v>204</v>
      </c>
      <c r="H7" s="18" t="s">
        <v>207</v>
      </c>
      <c r="O7" s="18" t="s">
        <v>209</v>
      </c>
    </row>
    <row r="8" spans="1:20" x14ac:dyDescent="0.2">
      <c r="A8" s="3"/>
      <c r="G8" s="3"/>
      <c r="O8" s="3"/>
    </row>
    <row r="9" spans="1:20" x14ac:dyDescent="0.2">
      <c r="A9" s="3" t="s">
        <v>65</v>
      </c>
      <c r="B9" s="3" t="s">
        <v>156</v>
      </c>
      <c r="C9" s="3">
        <v>0</v>
      </c>
      <c r="D9" s="3">
        <v>1</v>
      </c>
      <c r="E9" s="3" t="s">
        <v>157</v>
      </c>
      <c r="F9" s="3" t="s">
        <v>68</v>
      </c>
      <c r="G9" s="3"/>
      <c r="H9" s="3" t="s">
        <v>65</v>
      </c>
      <c r="I9" s="3" t="s">
        <v>156</v>
      </c>
      <c r="J9" s="3">
        <v>0</v>
      </c>
      <c r="K9" s="3">
        <v>1</v>
      </c>
      <c r="L9" s="3" t="s">
        <v>157</v>
      </c>
      <c r="M9" s="3" t="s">
        <v>68</v>
      </c>
      <c r="N9" s="3"/>
      <c r="O9" s="3" t="s">
        <v>65</v>
      </c>
      <c r="P9" s="3" t="s">
        <v>156</v>
      </c>
      <c r="Q9" s="3">
        <v>0</v>
      </c>
      <c r="R9" s="3">
        <v>1</v>
      </c>
      <c r="S9" s="3" t="s">
        <v>157</v>
      </c>
      <c r="T9" s="3" t="s">
        <v>68</v>
      </c>
    </row>
    <row r="11" spans="1:20" x14ac:dyDescent="0.2">
      <c r="A11">
        <v>1</v>
      </c>
      <c r="B11" t="s">
        <v>2</v>
      </c>
      <c r="C11">
        <v>18.593796000000001</v>
      </c>
      <c r="D11">
        <v>16.859301720000001</v>
      </c>
      <c r="E11">
        <v>25.095339469999999</v>
      </c>
      <c r="F11">
        <v>69.24873083</v>
      </c>
      <c r="H11">
        <v>1</v>
      </c>
      <c r="I11" t="s">
        <v>5</v>
      </c>
      <c r="J11">
        <v>14.315034199999999</v>
      </c>
      <c r="K11">
        <v>29.025494139999999</v>
      </c>
      <c r="L11">
        <v>31.707288025</v>
      </c>
      <c r="M11">
        <v>85.998867320000002</v>
      </c>
      <c r="O11">
        <v>1</v>
      </c>
      <c r="P11" t="s">
        <v>3</v>
      </c>
      <c r="Q11">
        <v>16.669233237</v>
      </c>
      <c r="R11">
        <v>13.082534150000001</v>
      </c>
      <c r="S11">
        <v>20.369907505800001</v>
      </c>
      <c r="T11">
        <v>50.727069059999998</v>
      </c>
    </row>
    <row r="12" spans="1:20" x14ac:dyDescent="0.2">
      <c r="A12">
        <v>2</v>
      </c>
      <c r="B12" t="s">
        <v>0</v>
      </c>
      <c r="C12">
        <v>19.411691999999999</v>
      </c>
      <c r="D12">
        <v>18.568944309999999</v>
      </c>
      <c r="E12">
        <v>24.43332856</v>
      </c>
      <c r="F12">
        <v>62.304691380000001</v>
      </c>
      <c r="H12">
        <v>2</v>
      </c>
      <c r="I12" t="s">
        <v>1</v>
      </c>
      <c r="J12">
        <v>19.517570620000001</v>
      </c>
      <c r="K12">
        <v>25.096362240000001</v>
      </c>
      <c r="L12">
        <v>29.563134036000001</v>
      </c>
      <c r="M12">
        <v>91.022077370000005</v>
      </c>
      <c r="O12">
        <v>2</v>
      </c>
      <c r="P12" t="s">
        <v>1</v>
      </c>
      <c r="Q12">
        <v>15.656350007</v>
      </c>
      <c r="R12">
        <v>11.46922887</v>
      </c>
      <c r="S12">
        <v>19.794528673599999</v>
      </c>
      <c r="T12">
        <v>66.221123840000004</v>
      </c>
    </row>
    <row r="13" spans="1:20" x14ac:dyDescent="0.2">
      <c r="A13">
        <v>3</v>
      </c>
      <c r="B13" t="s">
        <v>1</v>
      </c>
      <c r="C13">
        <v>17.403505899999999</v>
      </c>
      <c r="D13">
        <v>18.518260210000001</v>
      </c>
      <c r="E13">
        <v>24.402822100000002</v>
      </c>
      <c r="F13">
        <v>72.486407650000004</v>
      </c>
      <c r="H13">
        <v>3</v>
      </c>
      <c r="I13" t="s">
        <v>12</v>
      </c>
      <c r="J13">
        <v>18.136798679999998</v>
      </c>
      <c r="K13">
        <v>17.86653012</v>
      </c>
      <c r="L13">
        <v>23.634240565999999</v>
      </c>
      <c r="M13">
        <v>83.127402050000001</v>
      </c>
      <c r="O13">
        <v>3</v>
      </c>
      <c r="P13" t="s">
        <v>2</v>
      </c>
      <c r="Q13">
        <v>10.274249523</v>
      </c>
      <c r="R13">
        <v>15.749485116000001</v>
      </c>
      <c r="S13">
        <v>18.6661285982</v>
      </c>
      <c r="T13">
        <v>45.56171587</v>
      </c>
    </row>
    <row r="14" spans="1:20" x14ac:dyDescent="0.2">
      <c r="A14">
        <v>4</v>
      </c>
      <c r="B14" t="s">
        <v>90</v>
      </c>
      <c r="C14">
        <v>13.643634949999999</v>
      </c>
      <c r="D14">
        <v>18.424768570000001</v>
      </c>
      <c r="E14">
        <v>20.392886270000002</v>
      </c>
      <c r="F14">
        <v>57.640054470000003</v>
      </c>
      <c r="H14">
        <v>4</v>
      </c>
      <c r="I14" t="s">
        <v>3</v>
      </c>
      <c r="J14">
        <v>17.440063739999999</v>
      </c>
      <c r="K14">
        <v>19.08726704</v>
      </c>
      <c r="L14">
        <v>22.025398435</v>
      </c>
      <c r="M14">
        <v>56.465922749999997</v>
      </c>
      <c r="O14">
        <v>4</v>
      </c>
      <c r="P14" t="s">
        <v>5</v>
      </c>
      <c r="Q14">
        <v>6.4654431670000001</v>
      </c>
      <c r="R14">
        <v>14.813225860999999</v>
      </c>
      <c r="S14">
        <v>15.7979473118</v>
      </c>
      <c r="T14">
        <v>30.773934409999999</v>
      </c>
    </row>
    <row r="15" spans="1:20" x14ac:dyDescent="0.2">
      <c r="A15">
        <v>5</v>
      </c>
      <c r="B15" t="s">
        <v>3</v>
      </c>
      <c r="C15">
        <v>14.646945799999999</v>
      </c>
      <c r="D15">
        <v>15.704635809999999</v>
      </c>
      <c r="E15">
        <v>19.3086126</v>
      </c>
      <c r="F15">
        <v>42.953085440000002</v>
      </c>
      <c r="H15">
        <v>5</v>
      </c>
      <c r="I15" t="s">
        <v>0</v>
      </c>
      <c r="J15">
        <v>13.569878689999999</v>
      </c>
      <c r="K15">
        <v>18.675419250000001</v>
      </c>
      <c r="L15">
        <v>20.902070870999999</v>
      </c>
      <c r="M15">
        <v>44.309238610000001</v>
      </c>
      <c r="O15">
        <v>5</v>
      </c>
      <c r="P15" t="s">
        <v>21</v>
      </c>
      <c r="Q15">
        <v>6.7461388549999999</v>
      </c>
      <c r="R15">
        <v>11.073425220000001</v>
      </c>
      <c r="S15">
        <v>13.324716691200001</v>
      </c>
      <c r="T15">
        <v>38.63599799</v>
      </c>
    </row>
    <row r="16" spans="1:20" x14ac:dyDescent="0.2">
      <c r="A16">
        <v>6</v>
      </c>
      <c r="B16" t="s">
        <v>13</v>
      </c>
      <c r="C16">
        <v>11.436100509999999</v>
      </c>
      <c r="D16">
        <v>11.249974720000001</v>
      </c>
      <c r="E16">
        <v>16.19831061</v>
      </c>
      <c r="F16">
        <v>45.211645420000004</v>
      </c>
      <c r="H16">
        <v>6</v>
      </c>
      <c r="I16" t="s">
        <v>21</v>
      </c>
      <c r="J16">
        <v>5.6269078300000004</v>
      </c>
      <c r="K16">
        <v>20.032090230000001</v>
      </c>
      <c r="L16">
        <v>20.110671835000002</v>
      </c>
      <c r="M16">
        <v>52.113487259999999</v>
      </c>
      <c r="O16">
        <v>6</v>
      </c>
      <c r="P16" t="s">
        <v>17</v>
      </c>
      <c r="Q16">
        <v>9.7741033959999992</v>
      </c>
      <c r="R16">
        <v>6.5353564789999998</v>
      </c>
      <c r="S16">
        <v>12.692500687000001</v>
      </c>
      <c r="T16">
        <v>39.156388229999997</v>
      </c>
    </row>
    <row r="17" spans="1:20" x14ac:dyDescent="0.2">
      <c r="A17">
        <v>7</v>
      </c>
      <c r="B17" t="s">
        <v>7</v>
      </c>
      <c r="C17">
        <v>12.00816489</v>
      </c>
      <c r="D17">
        <v>10.944534770000001</v>
      </c>
      <c r="E17">
        <v>15.655358229999999</v>
      </c>
      <c r="F17">
        <v>51.28888422</v>
      </c>
      <c r="H17">
        <v>7</v>
      </c>
      <c r="I17" t="s">
        <v>4</v>
      </c>
      <c r="J17">
        <v>11.718839770000001</v>
      </c>
      <c r="K17">
        <v>16.17232856</v>
      </c>
      <c r="L17">
        <v>20.060304336000002</v>
      </c>
      <c r="M17">
        <v>55.009075940000002</v>
      </c>
      <c r="O17">
        <v>7</v>
      </c>
      <c r="P17" t="s">
        <v>35</v>
      </c>
      <c r="Q17">
        <v>8.2437212189999993</v>
      </c>
      <c r="R17">
        <v>8.5155578920000004</v>
      </c>
      <c r="S17">
        <v>11.2768010752</v>
      </c>
      <c r="T17">
        <v>39.954456380000003</v>
      </c>
    </row>
    <row r="18" spans="1:20" x14ac:dyDescent="0.2">
      <c r="A18">
        <v>8</v>
      </c>
      <c r="B18" t="s">
        <v>8</v>
      </c>
      <c r="C18">
        <v>10.60560482</v>
      </c>
      <c r="D18">
        <v>12.59320497</v>
      </c>
      <c r="E18">
        <v>15.629586379999999</v>
      </c>
      <c r="F18">
        <v>46.335535479999997</v>
      </c>
      <c r="H18">
        <v>8</v>
      </c>
      <c r="I18" t="s">
        <v>7</v>
      </c>
      <c r="J18">
        <v>15.452942609999999</v>
      </c>
      <c r="K18">
        <v>12.045083959999999</v>
      </c>
      <c r="L18">
        <v>19.37068352</v>
      </c>
      <c r="M18">
        <v>59.290465580000003</v>
      </c>
      <c r="O18">
        <v>8</v>
      </c>
      <c r="P18" t="s">
        <v>6</v>
      </c>
      <c r="Q18">
        <v>7.5215639999999997E-3</v>
      </c>
      <c r="R18">
        <v>12.136989982999999</v>
      </c>
      <c r="S18">
        <v>10.884443024999999</v>
      </c>
      <c r="T18">
        <v>25.651304360000001</v>
      </c>
    </row>
    <row r="19" spans="1:20" x14ac:dyDescent="0.2">
      <c r="A19">
        <v>9</v>
      </c>
      <c r="B19" t="s">
        <v>5</v>
      </c>
      <c r="C19">
        <v>9.0931204099999992</v>
      </c>
      <c r="D19">
        <v>13.72814698</v>
      </c>
      <c r="E19">
        <v>15.280394879999999</v>
      </c>
      <c r="F19">
        <v>33.056207530000002</v>
      </c>
      <c r="H19">
        <v>9</v>
      </c>
      <c r="I19" t="s">
        <v>2</v>
      </c>
      <c r="J19">
        <v>17.068397220000001</v>
      </c>
      <c r="K19">
        <v>13.6652431</v>
      </c>
      <c r="L19">
        <v>18.862758223</v>
      </c>
      <c r="M19">
        <v>41.342380140000003</v>
      </c>
      <c r="O19">
        <v>9</v>
      </c>
      <c r="P19" t="s">
        <v>4</v>
      </c>
      <c r="Q19">
        <v>9.2962482959999999</v>
      </c>
      <c r="R19">
        <v>5.4341853010000003</v>
      </c>
      <c r="S19">
        <v>10.525819525799999</v>
      </c>
      <c r="T19">
        <v>45.303658980000002</v>
      </c>
    </row>
    <row r="20" spans="1:20" x14ac:dyDescent="0.2">
      <c r="A20">
        <v>10</v>
      </c>
      <c r="B20" t="s">
        <v>6</v>
      </c>
      <c r="C20">
        <v>5.1483163200000002</v>
      </c>
      <c r="D20">
        <v>14.102470029999999</v>
      </c>
      <c r="E20">
        <v>14.744714910000001</v>
      </c>
      <c r="F20">
        <v>38.034597959999999</v>
      </c>
      <c r="H20">
        <v>10</v>
      </c>
      <c r="I20" t="s">
        <v>9</v>
      </c>
      <c r="J20">
        <v>5.3193945300000003</v>
      </c>
      <c r="K20">
        <v>16.759778870000002</v>
      </c>
      <c r="L20">
        <v>17.114845757000001</v>
      </c>
      <c r="M20">
        <v>48.266129130000003</v>
      </c>
      <c r="O20">
        <v>10</v>
      </c>
      <c r="P20" t="s">
        <v>7</v>
      </c>
      <c r="Q20">
        <v>8.9824166600000002</v>
      </c>
      <c r="R20">
        <v>4.4725875989999997</v>
      </c>
      <c r="S20">
        <v>9.9138986510000002</v>
      </c>
      <c r="T20">
        <v>33.057087500000002</v>
      </c>
    </row>
    <row r="21" spans="1:20" x14ac:dyDescent="0.2">
      <c r="A21">
        <v>11</v>
      </c>
      <c r="B21" t="s">
        <v>4</v>
      </c>
      <c r="C21">
        <v>11.741129920000001</v>
      </c>
      <c r="D21">
        <v>6.5036305800000003</v>
      </c>
      <c r="E21">
        <v>13.34482624</v>
      </c>
      <c r="F21">
        <v>47.233459369999999</v>
      </c>
      <c r="H21">
        <v>11</v>
      </c>
      <c r="I21" t="s">
        <v>28</v>
      </c>
      <c r="J21">
        <v>12.01766548</v>
      </c>
      <c r="K21">
        <v>14.45621117</v>
      </c>
      <c r="L21">
        <v>17.052399742999999</v>
      </c>
      <c r="M21">
        <v>55.478111079999998</v>
      </c>
      <c r="O21">
        <v>11</v>
      </c>
      <c r="P21" t="s">
        <v>36</v>
      </c>
      <c r="Q21">
        <v>5.9815801930000001</v>
      </c>
      <c r="R21">
        <v>5.7146682379999998</v>
      </c>
      <c r="S21">
        <v>9.3280993800999994</v>
      </c>
      <c r="T21">
        <v>34.979416559999997</v>
      </c>
    </row>
    <row r="22" spans="1:20" x14ac:dyDescent="0.2">
      <c r="A22">
        <v>12</v>
      </c>
      <c r="B22" t="s">
        <v>91</v>
      </c>
      <c r="C22">
        <v>11.677747460000001</v>
      </c>
      <c r="D22">
        <v>6.4298014099999996</v>
      </c>
      <c r="E22">
        <v>13.05182669</v>
      </c>
      <c r="F22">
        <v>40.19758925</v>
      </c>
      <c r="H22">
        <v>12</v>
      </c>
      <c r="I22" t="s">
        <v>13</v>
      </c>
      <c r="J22">
        <v>11.239701999999999</v>
      </c>
      <c r="K22">
        <v>8.0593309600000005</v>
      </c>
      <c r="L22">
        <v>15.015038937</v>
      </c>
      <c r="M22">
        <v>39.25473101</v>
      </c>
      <c r="O22">
        <v>12</v>
      </c>
      <c r="P22" t="s">
        <v>10</v>
      </c>
      <c r="Q22">
        <v>7.9144458430000002</v>
      </c>
      <c r="R22">
        <v>3.497269035</v>
      </c>
      <c r="S22">
        <v>8.6716835151999998</v>
      </c>
      <c r="T22">
        <v>33.19287258</v>
      </c>
    </row>
    <row r="23" spans="1:20" x14ac:dyDescent="0.2">
      <c r="A23">
        <v>13</v>
      </c>
      <c r="B23" t="s">
        <v>12</v>
      </c>
      <c r="C23">
        <v>11.083514600000001</v>
      </c>
      <c r="D23">
        <v>6.4888983199999997</v>
      </c>
      <c r="E23">
        <v>12.32512363</v>
      </c>
      <c r="F23">
        <v>45.003823279999999</v>
      </c>
      <c r="H23">
        <v>13</v>
      </c>
      <c r="I23" t="s">
        <v>10</v>
      </c>
      <c r="J23">
        <v>11.026375829999999</v>
      </c>
      <c r="K23">
        <v>10.13675843</v>
      </c>
      <c r="L23">
        <v>14.670206314</v>
      </c>
      <c r="M23">
        <v>38.088718919999998</v>
      </c>
      <c r="O23">
        <v>13</v>
      </c>
      <c r="P23" t="s">
        <v>28</v>
      </c>
      <c r="Q23">
        <v>5.0626591909999998</v>
      </c>
      <c r="R23">
        <v>7.0140760870000003</v>
      </c>
      <c r="S23">
        <v>8.2826548077000002</v>
      </c>
      <c r="T23">
        <v>35.805278059999999</v>
      </c>
    </row>
    <row r="24" spans="1:20" x14ac:dyDescent="0.2">
      <c r="A24">
        <v>14</v>
      </c>
      <c r="B24" t="s">
        <v>11</v>
      </c>
      <c r="C24">
        <v>9.8807138099999996</v>
      </c>
      <c r="D24">
        <v>6.92204715</v>
      </c>
      <c r="E24">
        <v>11.328112920000001</v>
      </c>
      <c r="F24">
        <v>42.299401580000001</v>
      </c>
      <c r="H24">
        <v>14</v>
      </c>
      <c r="I24" t="s">
        <v>24</v>
      </c>
      <c r="J24">
        <v>12.450264260000001</v>
      </c>
      <c r="K24">
        <v>8.5023883399999995</v>
      </c>
      <c r="L24">
        <v>14.104438160000001</v>
      </c>
      <c r="M24">
        <v>41.844815689999997</v>
      </c>
      <c r="O24">
        <v>14</v>
      </c>
      <c r="P24" t="s">
        <v>9</v>
      </c>
      <c r="Q24">
        <v>6.7037322130000003</v>
      </c>
      <c r="R24">
        <v>2.9294014929999999</v>
      </c>
      <c r="S24">
        <v>7.7088561870000003</v>
      </c>
      <c r="T24">
        <v>30.225194160000001</v>
      </c>
    </row>
    <row r="25" spans="1:20" x14ac:dyDescent="0.2">
      <c r="A25">
        <v>15</v>
      </c>
      <c r="B25" t="s">
        <v>10</v>
      </c>
      <c r="C25">
        <v>5.9393903699999999</v>
      </c>
      <c r="D25">
        <v>9.3806237200000009</v>
      </c>
      <c r="E25">
        <v>10.71435722</v>
      </c>
      <c r="F25">
        <v>31.881349839999999</v>
      </c>
      <c r="H25">
        <v>15</v>
      </c>
      <c r="I25" t="s">
        <v>8</v>
      </c>
      <c r="J25">
        <v>6.6341776799999996</v>
      </c>
      <c r="K25">
        <v>10.596906499999999</v>
      </c>
      <c r="L25">
        <v>13.859544638999999</v>
      </c>
      <c r="M25">
        <v>36.714450790000001</v>
      </c>
      <c r="O25">
        <v>15</v>
      </c>
      <c r="P25" t="s">
        <v>13</v>
      </c>
      <c r="Q25">
        <v>5.6848149079999999</v>
      </c>
      <c r="R25">
        <v>4.0875189450000002</v>
      </c>
      <c r="S25">
        <v>7.5952504329000003</v>
      </c>
      <c r="T25">
        <v>26.66618618</v>
      </c>
    </row>
    <row r="26" spans="1:20" x14ac:dyDescent="0.2">
      <c r="A26">
        <v>16</v>
      </c>
      <c r="B26" t="s">
        <v>92</v>
      </c>
      <c r="C26">
        <v>10.1475904</v>
      </c>
      <c r="D26">
        <v>4.4626662100000001</v>
      </c>
      <c r="E26">
        <v>10.69640077</v>
      </c>
      <c r="F26">
        <v>36.993647770000003</v>
      </c>
      <c r="H26">
        <v>16</v>
      </c>
      <c r="I26" t="s">
        <v>90</v>
      </c>
      <c r="J26">
        <v>7.2277969100000004</v>
      </c>
      <c r="K26">
        <v>12.365659320000001</v>
      </c>
      <c r="L26">
        <v>13.484186714</v>
      </c>
      <c r="M26">
        <v>31.72789379</v>
      </c>
      <c r="O26">
        <v>16</v>
      </c>
      <c r="P26" t="s">
        <v>0</v>
      </c>
      <c r="Q26">
        <v>3.2112390670000002</v>
      </c>
      <c r="R26">
        <v>6.388395611</v>
      </c>
      <c r="S26">
        <v>7.3478628417999996</v>
      </c>
      <c r="T26">
        <v>17.416993890000001</v>
      </c>
    </row>
    <row r="27" spans="1:20" x14ac:dyDescent="0.2">
      <c r="A27">
        <v>17</v>
      </c>
      <c r="B27" t="s">
        <v>26</v>
      </c>
      <c r="C27">
        <v>6.99773479</v>
      </c>
      <c r="D27">
        <v>5.9991883799999997</v>
      </c>
      <c r="E27">
        <v>9.6664134599999993</v>
      </c>
      <c r="F27">
        <v>34.545434229999998</v>
      </c>
      <c r="H27">
        <v>17</v>
      </c>
      <c r="I27" t="s">
        <v>91</v>
      </c>
      <c r="J27">
        <v>13.05320875</v>
      </c>
      <c r="K27">
        <v>5.8256575699999997</v>
      </c>
      <c r="L27">
        <v>12.999000408000001</v>
      </c>
      <c r="M27">
        <v>29.36525975</v>
      </c>
      <c r="O27">
        <v>17</v>
      </c>
      <c r="P27" t="s">
        <v>24</v>
      </c>
      <c r="Q27">
        <v>4.3697476320000002</v>
      </c>
      <c r="R27">
        <v>4.9264865459999996</v>
      </c>
      <c r="S27">
        <v>7.3387600864999998</v>
      </c>
      <c r="T27">
        <v>28.14088666</v>
      </c>
    </row>
    <row r="28" spans="1:20" x14ac:dyDescent="0.2">
      <c r="A28">
        <v>18</v>
      </c>
      <c r="B28" t="s">
        <v>25</v>
      </c>
      <c r="C28">
        <v>8.6543831400000002</v>
      </c>
      <c r="D28">
        <v>3.8612073900000001</v>
      </c>
      <c r="E28">
        <v>9.2172502200000004</v>
      </c>
      <c r="F28">
        <v>33.819958419999999</v>
      </c>
      <c r="H28">
        <v>18</v>
      </c>
      <c r="I28" t="s">
        <v>94</v>
      </c>
      <c r="J28">
        <v>7.2699812000000001</v>
      </c>
      <c r="K28">
        <v>10.096822899999999</v>
      </c>
      <c r="L28">
        <v>12.801180045000001</v>
      </c>
      <c r="M28">
        <v>32.668899349999997</v>
      </c>
      <c r="O28" s="18">
        <v>18</v>
      </c>
      <c r="P28" s="18" t="s">
        <v>90</v>
      </c>
      <c r="Q28" s="18">
        <v>4.2818254600000003</v>
      </c>
      <c r="R28" s="18">
        <v>5.9270224950000001</v>
      </c>
      <c r="S28" s="18">
        <v>7.2817094656999997</v>
      </c>
      <c r="T28" s="18">
        <v>23.404384969999999</v>
      </c>
    </row>
    <row r="29" spans="1:20" x14ac:dyDescent="0.2">
      <c r="A29">
        <v>19</v>
      </c>
      <c r="B29" t="s">
        <v>9</v>
      </c>
      <c r="C29">
        <v>5.8464362599999999</v>
      </c>
      <c r="D29">
        <v>5.9087085899999998</v>
      </c>
      <c r="E29">
        <v>9.1660106399999997</v>
      </c>
      <c r="F29">
        <v>34.197734570000001</v>
      </c>
      <c r="H29">
        <v>19</v>
      </c>
      <c r="I29" t="s">
        <v>6</v>
      </c>
      <c r="J29">
        <v>-0.96141038000000001</v>
      </c>
      <c r="K29">
        <v>14.811123719999999</v>
      </c>
      <c r="L29">
        <v>12.399503835999999</v>
      </c>
      <c r="M29">
        <v>29.39871612</v>
      </c>
      <c r="O29">
        <v>19</v>
      </c>
      <c r="P29" t="s">
        <v>11</v>
      </c>
      <c r="Q29">
        <v>4.6439239519999997</v>
      </c>
      <c r="R29">
        <v>5.3803665120000002</v>
      </c>
      <c r="S29">
        <v>7.1179859322999999</v>
      </c>
      <c r="T29">
        <v>30.143091429999998</v>
      </c>
    </row>
    <row r="30" spans="1:20" x14ac:dyDescent="0.2">
      <c r="A30">
        <v>20</v>
      </c>
      <c r="B30" t="s">
        <v>16</v>
      </c>
      <c r="C30">
        <v>7.71613317</v>
      </c>
      <c r="D30">
        <v>4.5202661099999997</v>
      </c>
      <c r="E30">
        <v>8.4395174900000001</v>
      </c>
      <c r="F30">
        <v>27.996495169999999</v>
      </c>
      <c r="H30">
        <v>20</v>
      </c>
      <c r="I30" t="s">
        <v>14</v>
      </c>
      <c r="J30">
        <v>6.8044038100000002</v>
      </c>
      <c r="K30">
        <v>10.21468224</v>
      </c>
      <c r="L30">
        <v>12.118378871999999</v>
      </c>
      <c r="M30">
        <v>31.449557129999999</v>
      </c>
      <c r="O30">
        <v>20</v>
      </c>
      <c r="P30" t="s">
        <v>34</v>
      </c>
      <c r="Q30">
        <v>6.6662004880000003</v>
      </c>
      <c r="R30">
        <v>2.9933639570000001</v>
      </c>
      <c r="S30">
        <v>7.0639994279999998</v>
      </c>
      <c r="T30">
        <v>28.06028568</v>
      </c>
    </row>
    <row r="31" spans="1:20" x14ac:dyDescent="0.2">
      <c r="A31">
        <v>21</v>
      </c>
      <c r="B31" t="s">
        <v>17</v>
      </c>
      <c r="C31">
        <v>8.0040486099999999</v>
      </c>
      <c r="D31">
        <v>3.30030972</v>
      </c>
      <c r="E31">
        <v>8.1506362800000005</v>
      </c>
      <c r="F31">
        <v>28.694409530000001</v>
      </c>
      <c r="H31">
        <v>21</v>
      </c>
      <c r="I31" t="s">
        <v>39</v>
      </c>
      <c r="J31">
        <v>8.5000700200000008</v>
      </c>
      <c r="K31">
        <v>8.7821531700000008</v>
      </c>
      <c r="L31">
        <v>12.014018449</v>
      </c>
      <c r="M31">
        <v>37.69075934</v>
      </c>
      <c r="O31">
        <v>21</v>
      </c>
      <c r="P31" t="s">
        <v>19</v>
      </c>
      <c r="Q31">
        <v>4.9796270629999997</v>
      </c>
      <c r="R31">
        <v>4.9116848329999998</v>
      </c>
      <c r="S31">
        <v>6.9598254239999999</v>
      </c>
      <c r="T31">
        <v>18.73397774</v>
      </c>
    </row>
    <row r="32" spans="1:20" x14ac:dyDescent="0.2">
      <c r="A32">
        <v>22</v>
      </c>
      <c r="B32" t="s">
        <v>22</v>
      </c>
      <c r="C32">
        <v>9.0373059999999992</v>
      </c>
      <c r="D32">
        <v>2.0290305800000001</v>
      </c>
      <c r="E32">
        <v>8.1493592600000007</v>
      </c>
      <c r="F32">
        <v>26.013637849999999</v>
      </c>
      <c r="H32">
        <v>22</v>
      </c>
      <c r="I32" t="s">
        <v>17</v>
      </c>
      <c r="J32">
        <v>7.4840008600000001</v>
      </c>
      <c r="K32">
        <v>9.5617367200000007</v>
      </c>
      <c r="L32">
        <v>11.926716609</v>
      </c>
      <c r="M32">
        <v>37.847735720000003</v>
      </c>
      <c r="O32">
        <v>22</v>
      </c>
      <c r="P32" t="s">
        <v>14</v>
      </c>
      <c r="Q32">
        <v>4.2386130389999996</v>
      </c>
      <c r="R32">
        <v>5.3197800150000001</v>
      </c>
      <c r="S32">
        <v>6.8602762911999999</v>
      </c>
      <c r="T32">
        <v>29.860791280000001</v>
      </c>
    </row>
    <row r="33" spans="1:20" x14ac:dyDescent="0.2">
      <c r="A33">
        <v>23</v>
      </c>
      <c r="B33" t="s">
        <v>35</v>
      </c>
      <c r="C33">
        <v>7.7862394200000002</v>
      </c>
      <c r="D33">
        <v>3.5773219100000002</v>
      </c>
      <c r="E33">
        <v>8.0674598</v>
      </c>
      <c r="F33">
        <v>33.155166710000003</v>
      </c>
      <c r="H33">
        <v>23</v>
      </c>
      <c r="I33" t="s">
        <v>46</v>
      </c>
      <c r="J33">
        <v>6.6024779100000002</v>
      </c>
      <c r="K33">
        <v>10.064481430000001</v>
      </c>
      <c r="L33">
        <v>11.56321617</v>
      </c>
      <c r="M33">
        <v>38.879603199999998</v>
      </c>
      <c r="O33">
        <v>23</v>
      </c>
      <c r="P33" t="s">
        <v>26</v>
      </c>
      <c r="Q33">
        <v>4.736411962</v>
      </c>
      <c r="R33">
        <v>3.9961426329999998</v>
      </c>
      <c r="S33">
        <v>6.7759426820000002</v>
      </c>
      <c r="T33">
        <v>29.96229125</v>
      </c>
    </row>
    <row r="34" spans="1:20" x14ac:dyDescent="0.2">
      <c r="A34">
        <v>24</v>
      </c>
      <c r="B34" t="s">
        <v>19</v>
      </c>
      <c r="C34">
        <v>4.1266950199999997</v>
      </c>
      <c r="D34">
        <v>7.1069377500000002</v>
      </c>
      <c r="E34">
        <v>7.8760364000000003</v>
      </c>
      <c r="F34">
        <v>17.12516063</v>
      </c>
      <c r="H34">
        <v>24</v>
      </c>
      <c r="I34" t="s">
        <v>35</v>
      </c>
      <c r="J34">
        <v>7.7223721899999997</v>
      </c>
      <c r="K34">
        <v>8.5542807199999995</v>
      </c>
      <c r="L34">
        <v>11.544251383000001</v>
      </c>
      <c r="M34">
        <v>38.343478099999999</v>
      </c>
      <c r="O34">
        <v>24</v>
      </c>
      <c r="P34" t="s">
        <v>91</v>
      </c>
      <c r="Q34">
        <v>6.3557982019999999</v>
      </c>
      <c r="R34">
        <v>2.7923228940000002</v>
      </c>
      <c r="S34">
        <v>6.6880607229000004</v>
      </c>
      <c r="T34">
        <v>25.419977329999998</v>
      </c>
    </row>
    <row r="35" spans="1:20" x14ac:dyDescent="0.2">
      <c r="A35">
        <v>25</v>
      </c>
      <c r="B35" t="s">
        <v>36</v>
      </c>
      <c r="C35">
        <v>3.4969863999999999</v>
      </c>
      <c r="D35">
        <v>7.5792924099999999</v>
      </c>
      <c r="E35">
        <v>7.8682517399999998</v>
      </c>
      <c r="F35">
        <v>34.127850729999999</v>
      </c>
      <c r="H35">
        <v>25</v>
      </c>
      <c r="I35" t="s">
        <v>31</v>
      </c>
      <c r="J35">
        <v>6.9188513</v>
      </c>
      <c r="K35">
        <v>7.0083939500000003</v>
      </c>
      <c r="L35">
        <v>11.234873217000001</v>
      </c>
      <c r="M35">
        <v>35.311602649999998</v>
      </c>
      <c r="O35">
        <v>25</v>
      </c>
      <c r="P35" t="s">
        <v>22</v>
      </c>
      <c r="Q35">
        <v>6.0842859960000002</v>
      </c>
      <c r="R35">
        <v>1.8217782570000001</v>
      </c>
      <c r="S35">
        <v>6.5793588757999997</v>
      </c>
      <c r="T35">
        <v>15.63816415</v>
      </c>
    </row>
    <row r="36" spans="1:20" x14ac:dyDescent="0.2">
      <c r="A36">
        <v>26</v>
      </c>
      <c r="B36" t="s">
        <v>28</v>
      </c>
      <c r="C36">
        <v>7.1489303900000003</v>
      </c>
      <c r="D36">
        <v>3.2689730400000001</v>
      </c>
      <c r="E36">
        <v>7.8127645799999996</v>
      </c>
      <c r="F36">
        <v>32.454336099999999</v>
      </c>
      <c r="H36">
        <v>26</v>
      </c>
      <c r="I36" t="s">
        <v>25</v>
      </c>
      <c r="J36">
        <v>-3.0210190000000001E-2</v>
      </c>
      <c r="K36">
        <v>12.88925497</v>
      </c>
      <c r="L36">
        <v>10.647813189000001</v>
      </c>
      <c r="M36">
        <v>35.788710289999997</v>
      </c>
      <c r="O36">
        <v>26</v>
      </c>
      <c r="P36" t="s">
        <v>31</v>
      </c>
      <c r="Q36">
        <v>7.6365233479999999</v>
      </c>
      <c r="R36">
        <v>1.072306585</v>
      </c>
      <c r="S36">
        <v>6.5522561594999997</v>
      </c>
      <c r="T36">
        <v>29.641731539999999</v>
      </c>
    </row>
    <row r="37" spans="1:20" x14ac:dyDescent="0.2">
      <c r="A37">
        <v>27</v>
      </c>
      <c r="B37" t="s">
        <v>32</v>
      </c>
      <c r="C37">
        <v>5.2524537100000002</v>
      </c>
      <c r="D37">
        <v>5.4070484399999996</v>
      </c>
      <c r="E37">
        <v>7.7807803199999999</v>
      </c>
      <c r="F37">
        <v>27.333214139999999</v>
      </c>
      <c r="H37">
        <v>27</v>
      </c>
      <c r="I37" t="s">
        <v>47</v>
      </c>
      <c r="J37">
        <v>6.6639459900000002</v>
      </c>
      <c r="K37">
        <v>9.0461252000000005</v>
      </c>
      <c r="L37">
        <v>10.529390340999999</v>
      </c>
      <c r="M37">
        <v>20.060830169999999</v>
      </c>
      <c r="O37">
        <v>27</v>
      </c>
      <c r="P37" t="s">
        <v>12</v>
      </c>
      <c r="Q37">
        <v>5.4096788399999998</v>
      </c>
      <c r="R37">
        <v>3.6174541699999998</v>
      </c>
      <c r="S37">
        <v>6.2478381195999999</v>
      </c>
      <c r="T37">
        <v>30.037192529999999</v>
      </c>
    </row>
    <row r="38" spans="1:20" x14ac:dyDescent="0.2">
      <c r="A38">
        <v>28</v>
      </c>
      <c r="B38" t="s">
        <v>31</v>
      </c>
      <c r="C38">
        <v>6.5166308099999997</v>
      </c>
      <c r="D38">
        <v>3.7966375000000001</v>
      </c>
      <c r="E38">
        <v>7.6220317199999998</v>
      </c>
      <c r="F38">
        <v>30.710412519999998</v>
      </c>
      <c r="H38">
        <v>28</v>
      </c>
      <c r="I38" t="s">
        <v>36</v>
      </c>
      <c r="J38">
        <v>7.1883551399999996</v>
      </c>
      <c r="K38">
        <v>7.7137370199999999</v>
      </c>
      <c r="L38">
        <v>10.317950228000001</v>
      </c>
      <c r="M38">
        <v>36.88311144</v>
      </c>
      <c r="O38">
        <v>28</v>
      </c>
      <c r="P38" t="s">
        <v>25</v>
      </c>
      <c r="Q38">
        <v>5.8221837179999998</v>
      </c>
      <c r="R38">
        <v>2.3477331069999998</v>
      </c>
      <c r="S38">
        <v>5.9363302449999997</v>
      </c>
      <c r="T38">
        <v>29.841818610000001</v>
      </c>
    </row>
    <row r="39" spans="1:20" x14ac:dyDescent="0.2">
      <c r="A39">
        <v>29</v>
      </c>
      <c r="B39" t="s">
        <v>14</v>
      </c>
      <c r="C39">
        <v>6.0159963999999997</v>
      </c>
      <c r="D39">
        <v>3.96469468</v>
      </c>
      <c r="E39">
        <v>7.4812943000000001</v>
      </c>
      <c r="F39">
        <v>25.695722889999999</v>
      </c>
      <c r="H39">
        <v>29</v>
      </c>
      <c r="I39" t="s">
        <v>33</v>
      </c>
      <c r="J39">
        <v>3.7273734900000002</v>
      </c>
      <c r="K39">
        <v>9.5350230600000003</v>
      </c>
      <c r="L39">
        <v>10.099768040000001</v>
      </c>
      <c r="M39">
        <v>26.955336039999999</v>
      </c>
      <c r="O39">
        <v>29</v>
      </c>
      <c r="P39" t="s">
        <v>32</v>
      </c>
      <c r="Q39">
        <v>5.8131860690000003</v>
      </c>
      <c r="R39">
        <v>1.724856527</v>
      </c>
      <c r="S39">
        <v>5.5081718150999999</v>
      </c>
      <c r="T39">
        <v>25.131821209999998</v>
      </c>
    </row>
    <row r="40" spans="1:20" x14ac:dyDescent="0.2">
      <c r="A40">
        <v>30</v>
      </c>
      <c r="B40" t="s">
        <v>21</v>
      </c>
      <c r="C40">
        <v>4.40448869</v>
      </c>
      <c r="D40">
        <v>5.4516531400000003</v>
      </c>
      <c r="E40">
        <v>7.0102004100000004</v>
      </c>
      <c r="F40">
        <v>33.837274999999998</v>
      </c>
      <c r="H40">
        <v>30</v>
      </c>
      <c r="I40" t="s">
        <v>23</v>
      </c>
      <c r="J40">
        <v>4.4924187900000003</v>
      </c>
      <c r="K40">
        <v>9.1080265600000008</v>
      </c>
      <c r="L40">
        <v>10.035872293000001</v>
      </c>
      <c r="M40">
        <v>26.17052915</v>
      </c>
      <c r="O40">
        <v>30</v>
      </c>
      <c r="P40" t="s">
        <v>37</v>
      </c>
      <c r="Q40">
        <v>3.776626303</v>
      </c>
      <c r="R40">
        <v>2.9447172610000001</v>
      </c>
      <c r="S40">
        <v>4.8795349654000004</v>
      </c>
      <c r="T40">
        <v>16.910461699999999</v>
      </c>
    </row>
    <row r="41" spans="1:20" x14ac:dyDescent="0.2">
      <c r="A41">
        <v>31</v>
      </c>
      <c r="B41" t="s">
        <v>27</v>
      </c>
      <c r="C41">
        <v>5.4562846800000004</v>
      </c>
      <c r="D41">
        <v>3.48920729</v>
      </c>
      <c r="E41">
        <v>6.87225457</v>
      </c>
      <c r="F41">
        <v>14.54522813</v>
      </c>
      <c r="H41">
        <v>31</v>
      </c>
      <c r="I41" t="s">
        <v>15</v>
      </c>
      <c r="J41">
        <v>3.1124472399999998</v>
      </c>
      <c r="K41">
        <v>9.6427570599999992</v>
      </c>
      <c r="L41">
        <v>10.032243512000001</v>
      </c>
      <c r="M41">
        <v>25.872761669999999</v>
      </c>
      <c r="O41">
        <v>31</v>
      </c>
      <c r="P41" t="s">
        <v>15</v>
      </c>
      <c r="Q41">
        <v>2.241054782</v>
      </c>
      <c r="R41">
        <v>4.487423197</v>
      </c>
      <c r="S41">
        <v>4.8431550967000003</v>
      </c>
      <c r="T41">
        <v>20.02687761</v>
      </c>
    </row>
    <row r="42" spans="1:20" x14ac:dyDescent="0.2">
      <c r="A42">
        <v>32</v>
      </c>
      <c r="B42" t="s">
        <v>24</v>
      </c>
      <c r="C42">
        <v>6.7228105100000004</v>
      </c>
      <c r="D42">
        <v>3.0170779900000002</v>
      </c>
      <c r="E42">
        <v>6.8383147500000003</v>
      </c>
      <c r="F42">
        <v>28.810956390000001</v>
      </c>
      <c r="H42">
        <v>32</v>
      </c>
      <c r="I42" t="s">
        <v>44</v>
      </c>
      <c r="J42">
        <v>5.8666193199999999</v>
      </c>
      <c r="K42">
        <v>8.8509078900000002</v>
      </c>
      <c r="L42">
        <v>9.9119066480000004</v>
      </c>
      <c r="M42">
        <v>18.21125018</v>
      </c>
      <c r="O42">
        <v>32</v>
      </c>
      <c r="P42" t="s">
        <v>56</v>
      </c>
      <c r="Q42">
        <v>5.9019866810000003</v>
      </c>
      <c r="R42">
        <v>0.44099769300000002</v>
      </c>
      <c r="S42">
        <v>4.7101628724999998</v>
      </c>
      <c r="T42">
        <v>7.2044726199999998</v>
      </c>
    </row>
    <row r="43" spans="1:20" x14ac:dyDescent="0.2">
      <c r="A43">
        <v>33</v>
      </c>
      <c r="B43" t="s">
        <v>20</v>
      </c>
      <c r="C43">
        <v>5.4796166199999998</v>
      </c>
      <c r="D43">
        <v>3.6349439399999999</v>
      </c>
      <c r="E43">
        <v>6.7017296699999998</v>
      </c>
      <c r="F43">
        <v>27.627967160000001</v>
      </c>
      <c r="H43">
        <v>33</v>
      </c>
      <c r="I43" t="s">
        <v>11</v>
      </c>
      <c r="J43">
        <v>6.1352476999999999</v>
      </c>
      <c r="K43">
        <v>6.7956454800000001</v>
      </c>
      <c r="L43">
        <v>9.5182654479999993</v>
      </c>
      <c r="M43">
        <v>36.581958499999999</v>
      </c>
      <c r="O43">
        <v>33</v>
      </c>
      <c r="P43" t="s">
        <v>44</v>
      </c>
      <c r="Q43">
        <v>3.379173502</v>
      </c>
      <c r="R43">
        <v>2.734991817</v>
      </c>
      <c r="S43">
        <v>4.6844820674000003</v>
      </c>
      <c r="T43">
        <v>19.137967410000002</v>
      </c>
    </row>
    <row r="44" spans="1:20" x14ac:dyDescent="0.2">
      <c r="A44">
        <v>34</v>
      </c>
      <c r="B44" t="s">
        <v>38</v>
      </c>
      <c r="C44">
        <v>2.9037871800000001</v>
      </c>
      <c r="D44">
        <v>6.1480873599999999</v>
      </c>
      <c r="E44">
        <v>6.3983603200000001</v>
      </c>
      <c r="F44">
        <v>7.78209967</v>
      </c>
      <c r="H44">
        <v>34</v>
      </c>
      <c r="I44" t="s">
        <v>29</v>
      </c>
      <c r="J44">
        <v>3.8268327900000001</v>
      </c>
      <c r="K44">
        <v>8.9436802400000008</v>
      </c>
      <c r="L44">
        <v>9.2117557140000006</v>
      </c>
      <c r="M44">
        <v>38.375079479999997</v>
      </c>
      <c r="O44">
        <v>34</v>
      </c>
      <c r="P44" t="s">
        <v>52</v>
      </c>
      <c r="Q44">
        <v>4.5266547490000004</v>
      </c>
      <c r="R44">
        <v>1.732237225</v>
      </c>
      <c r="S44">
        <v>4.6561758935000004</v>
      </c>
      <c r="T44">
        <v>18.092867649999999</v>
      </c>
    </row>
    <row r="45" spans="1:20" x14ac:dyDescent="0.2">
      <c r="A45">
        <v>35</v>
      </c>
      <c r="B45" t="s">
        <v>33</v>
      </c>
      <c r="C45">
        <v>4.5944868699999999</v>
      </c>
      <c r="D45">
        <v>3.9549326900000001</v>
      </c>
      <c r="E45">
        <v>6.2767479499999999</v>
      </c>
      <c r="F45">
        <v>22.316889580000002</v>
      </c>
      <c r="H45">
        <v>35</v>
      </c>
      <c r="I45" t="s">
        <v>93</v>
      </c>
      <c r="J45">
        <v>6.64159101</v>
      </c>
      <c r="K45">
        <v>6.4313093300000004</v>
      </c>
      <c r="L45">
        <v>9.1673998010000002</v>
      </c>
      <c r="M45">
        <v>31.28306899</v>
      </c>
      <c r="O45">
        <v>35</v>
      </c>
      <c r="P45" t="s">
        <v>46</v>
      </c>
      <c r="Q45">
        <v>1.97045063</v>
      </c>
      <c r="R45">
        <v>4.617493895</v>
      </c>
      <c r="S45">
        <v>4.6526732626999996</v>
      </c>
      <c r="T45">
        <v>29.122295869999999</v>
      </c>
    </row>
    <row r="46" spans="1:20" x14ac:dyDescent="0.2">
      <c r="A46">
        <v>36</v>
      </c>
      <c r="B46" t="s">
        <v>23</v>
      </c>
      <c r="C46">
        <v>4.7290253800000004</v>
      </c>
      <c r="D46">
        <v>3.3180159800000002</v>
      </c>
      <c r="E46">
        <v>6.0742890100000002</v>
      </c>
      <c r="F46">
        <v>26.490201970000001</v>
      </c>
      <c r="H46">
        <v>36</v>
      </c>
      <c r="I46" t="s">
        <v>40</v>
      </c>
      <c r="J46">
        <v>3.3791294500000002</v>
      </c>
      <c r="K46">
        <v>8.6895805500000005</v>
      </c>
      <c r="L46">
        <v>9.0482120179999992</v>
      </c>
      <c r="M46">
        <v>32.228222189999997</v>
      </c>
      <c r="O46">
        <v>36</v>
      </c>
      <c r="P46" t="s">
        <v>47</v>
      </c>
      <c r="Q46">
        <v>2.334300855</v>
      </c>
      <c r="R46">
        <v>4.0105163680000002</v>
      </c>
      <c r="S46">
        <v>4.6513321886999996</v>
      </c>
      <c r="T46">
        <v>15.861716210000001</v>
      </c>
    </row>
    <row r="47" spans="1:20" x14ac:dyDescent="0.2">
      <c r="A47">
        <v>37</v>
      </c>
      <c r="B47" t="s">
        <v>15</v>
      </c>
      <c r="C47">
        <v>2.0529136700000001</v>
      </c>
      <c r="D47">
        <v>5.5807376</v>
      </c>
      <c r="E47">
        <v>6.0312965900000002</v>
      </c>
      <c r="F47">
        <v>19.767784089999999</v>
      </c>
      <c r="H47">
        <v>37</v>
      </c>
      <c r="I47" t="s">
        <v>53</v>
      </c>
      <c r="J47">
        <v>8.6207651199999997</v>
      </c>
      <c r="K47">
        <v>3.4648482</v>
      </c>
      <c r="L47">
        <v>8.9844082400000005</v>
      </c>
      <c r="M47">
        <v>18.48611142</v>
      </c>
      <c r="O47">
        <v>37</v>
      </c>
      <c r="P47" t="s">
        <v>16</v>
      </c>
      <c r="Q47">
        <v>3.6040637119999999</v>
      </c>
      <c r="R47">
        <v>2.3880139150000002</v>
      </c>
      <c r="S47">
        <v>4.6400137438</v>
      </c>
      <c r="T47">
        <v>19.644391039999999</v>
      </c>
    </row>
    <row r="48" spans="1:20" x14ac:dyDescent="0.2">
      <c r="A48">
        <v>38</v>
      </c>
      <c r="B48" t="s">
        <v>98</v>
      </c>
      <c r="C48">
        <v>1.93083662</v>
      </c>
      <c r="D48">
        <v>6.6194465999999998</v>
      </c>
      <c r="E48">
        <v>6.0275716499999996</v>
      </c>
      <c r="F48">
        <v>14.265088990000001</v>
      </c>
      <c r="H48">
        <v>38</v>
      </c>
      <c r="I48" t="s">
        <v>32</v>
      </c>
      <c r="J48">
        <v>8.08549176</v>
      </c>
      <c r="K48">
        <v>3.0008715499999998</v>
      </c>
      <c r="L48">
        <v>8.7467279060000003</v>
      </c>
      <c r="M48">
        <v>32.392613480000001</v>
      </c>
      <c r="O48">
        <v>38</v>
      </c>
      <c r="P48" t="s">
        <v>94</v>
      </c>
      <c r="Q48">
        <v>3.2281024870000001</v>
      </c>
      <c r="R48">
        <v>2.833693534</v>
      </c>
      <c r="S48">
        <v>4.6254747368000002</v>
      </c>
      <c r="T48">
        <v>22.773238200000002</v>
      </c>
    </row>
    <row r="49" spans="1:20" x14ac:dyDescent="0.2">
      <c r="A49">
        <v>39</v>
      </c>
      <c r="B49" t="s">
        <v>34</v>
      </c>
      <c r="C49">
        <v>4.7359464100000004</v>
      </c>
      <c r="D49">
        <v>3.7247084400000001</v>
      </c>
      <c r="E49">
        <v>5.9834894800000002</v>
      </c>
      <c r="F49">
        <v>20.52440124</v>
      </c>
      <c r="H49">
        <v>39</v>
      </c>
      <c r="I49" t="s">
        <v>37</v>
      </c>
      <c r="J49">
        <v>7.9412220600000003</v>
      </c>
      <c r="K49">
        <v>4.8066298300000003</v>
      </c>
      <c r="L49">
        <v>8.7436346230000002</v>
      </c>
      <c r="M49">
        <v>13.553446879999999</v>
      </c>
      <c r="O49">
        <v>39</v>
      </c>
      <c r="P49" t="s">
        <v>48</v>
      </c>
      <c r="Q49">
        <v>2.251794721</v>
      </c>
      <c r="R49">
        <v>3.4537512590000001</v>
      </c>
      <c r="S49">
        <v>4.5440484268999999</v>
      </c>
      <c r="T49">
        <v>11.76748005</v>
      </c>
    </row>
    <row r="50" spans="1:20" x14ac:dyDescent="0.2">
      <c r="A50">
        <v>40</v>
      </c>
      <c r="B50" t="s">
        <v>42</v>
      </c>
      <c r="C50">
        <v>1.56600644</v>
      </c>
      <c r="D50">
        <v>5.4923209699999997</v>
      </c>
      <c r="E50">
        <v>5.7332970599999999</v>
      </c>
      <c r="F50">
        <v>9.4542890499999999</v>
      </c>
      <c r="H50">
        <v>40</v>
      </c>
      <c r="I50" t="s">
        <v>27</v>
      </c>
      <c r="J50">
        <v>3.18414916</v>
      </c>
      <c r="K50">
        <v>7.6492807599999999</v>
      </c>
      <c r="L50">
        <v>8.2676277549999995</v>
      </c>
      <c r="M50">
        <v>13.0853179</v>
      </c>
      <c r="O50">
        <v>40</v>
      </c>
      <c r="P50" t="s">
        <v>20</v>
      </c>
      <c r="Q50">
        <v>2.6689686560000001</v>
      </c>
      <c r="R50">
        <v>3.4678793809999999</v>
      </c>
      <c r="S50">
        <v>4.4298681404</v>
      </c>
      <c r="T50">
        <v>16.88862971</v>
      </c>
    </row>
    <row r="51" spans="1:20" x14ac:dyDescent="0.2">
      <c r="A51">
        <v>41</v>
      </c>
      <c r="B51" t="s">
        <v>29</v>
      </c>
      <c r="C51">
        <v>4.5491900699999999</v>
      </c>
      <c r="D51">
        <v>3.2690049600000002</v>
      </c>
      <c r="E51">
        <v>5.67470344</v>
      </c>
      <c r="F51">
        <v>33.437147920000001</v>
      </c>
      <c r="H51">
        <v>41</v>
      </c>
      <c r="I51" t="s">
        <v>19</v>
      </c>
      <c r="J51">
        <v>2.4158354100000001</v>
      </c>
      <c r="K51">
        <v>8.2843761100000002</v>
      </c>
      <c r="L51">
        <v>8.0254080139999999</v>
      </c>
      <c r="M51">
        <v>16.77092025</v>
      </c>
      <c r="O51">
        <v>41</v>
      </c>
      <c r="P51" t="s">
        <v>39</v>
      </c>
      <c r="Q51">
        <v>1.2221401869999999</v>
      </c>
      <c r="R51">
        <v>4.1810542929999999</v>
      </c>
      <c r="S51">
        <v>4.1730293233999998</v>
      </c>
      <c r="T51">
        <v>29.473668320000002</v>
      </c>
    </row>
    <row r="52" spans="1:20" x14ac:dyDescent="0.2">
      <c r="A52">
        <v>42</v>
      </c>
      <c r="B52" t="s">
        <v>165</v>
      </c>
      <c r="C52">
        <v>3.2365177799999998</v>
      </c>
      <c r="D52">
        <v>3.9539868299999998</v>
      </c>
      <c r="E52">
        <v>5.4988941000000002</v>
      </c>
      <c r="F52">
        <v>28.697209640000001</v>
      </c>
      <c r="H52">
        <v>42</v>
      </c>
      <c r="I52" t="s">
        <v>50</v>
      </c>
      <c r="J52">
        <v>4.7996651300000002</v>
      </c>
      <c r="K52">
        <v>5.1946395499999998</v>
      </c>
      <c r="L52">
        <v>7.6197919440000002</v>
      </c>
      <c r="M52">
        <v>7.5700677699999996</v>
      </c>
      <c r="O52">
        <v>42</v>
      </c>
      <c r="P52" t="s">
        <v>29</v>
      </c>
      <c r="Q52">
        <v>0.157700648</v>
      </c>
      <c r="R52">
        <v>5.0827635679999998</v>
      </c>
      <c r="S52">
        <v>4.1423159907000002</v>
      </c>
      <c r="T52">
        <v>29.487142349999999</v>
      </c>
    </row>
    <row r="53" spans="1:20" x14ac:dyDescent="0.2">
      <c r="A53">
        <v>43</v>
      </c>
      <c r="B53" t="s">
        <v>46</v>
      </c>
      <c r="C53">
        <v>5.16858007</v>
      </c>
      <c r="D53">
        <v>2.4553142000000001</v>
      </c>
      <c r="E53">
        <v>5.4092818500000002</v>
      </c>
      <c r="F53">
        <v>32.450088059999999</v>
      </c>
      <c r="H53">
        <v>43</v>
      </c>
      <c r="I53" t="s">
        <v>20</v>
      </c>
      <c r="J53">
        <v>0.77564860000000002</v>
      </c>
      <c r="K53">
        <v>8.5779647099999998</v>
      </c>
      <c r="L53">
        <v>7.5703798859999996</v>
      </c>
      <c r="M53">
        <v>21.330540849999998</v>
      </c>
      <c r="O53">
        <v>43</v>
      </c>
      <c r="P53" t="s">
        <v>42</v>
      </c>
      <c r="Q53">
        <v>3.503964404</v>
      </c>
      <c r="R53">
        <v>1.6819089149999999</v>
      </c>
      <c r="S53">
        <v>4.0786751204999998</v>
      </c>
      <c r="T53">
        <v>6.4130562700000002</v>
      </c>
    </row>
    <row r="54" spans="1:20" x14ac:dyDescent="0.2">
      <c r="A54">
        <v>44</v>
      </c>
      <c r="B54" t="s">
        <v>45</v>
      </c>
      <c r="C54">
        <v>1.3720495800000001</v>
      </c>
      <c r="D54">
        <v>5.3625735399999996</v>
      </c>
      <c r="E54">
        <v>5.3722535300000001</v>
      </c>
      <c r="F54">
        <v>6.1663471100000002</v>
      </c>
      <c r="H54">
        <v>44</v>
      </c>
      <c r="I54" t="s">
        <v>51</v>
      </c>
      <c r="J54">
        <v>5.5049905600000004</v>
      </c>
      <c r="K54">
        <v>5.1985372500000002</v>
      </c>
      <c r="L54">
        <v>7.1814364429999999</v>
      </c>
      <c r="M54">
        <v>7.2526089300000001</v>
      </c>
      <c r="O54">
        <v>44</v>
      </c>
      <c r="P54" t="s">
        <v>8</v>
      </c>
      <c r="Q54">
        <v>4.0494103429999999</v>
      </c>
      <c r="R54">
        <v>1.4305330000000001</v>
      </c>
      <c r="S54">
        <v>4.0253089507000004</v>
      </c>
      <c r="T54">
        <v>24.986574999999998</v>
      </c>
    </row>
    <row r="55" spans="1:20" x14ac:dyDescent="0.2">
      <c r="A55">
        <v>45</v>
      </c>
      <c r="B55" t="s">
        <v>132</v>
      </c>
      <c r="C55">
        <v>4.3891327899999997</v>
      </c>
      <c r="D55">
        <v>2.9589192999999998</v>
      </c>
      <c r="E55">
        <v>5.3200575700000003</v>
      </c>
      <c r="F55">
        <v>8.9480453900000008</v>
      </c>
      <c r="H55">
        <v>45</v>
      </c>
      <c r="I55" t="s">
        <v>16</v>
      </c>
      <c r="J55">
        <v>2.6683527800000002</v>
      </c>
      <c r="K55">
        <v>6.28022714</v>
      </c>
      <c r="L55">
        <v>6.7433153490000004</v>
      </c>
      <c r="M55">
        <v>21.006518450000002</v>
      </c>
      <c r="O55">
        <v>45</v>
      </c>
      <c r="P55" t="s">
        <v>38</v>
      </c>
      <c r="Q55">
        <v>1.989119815</v>
      </c>
      <c r="R55">
        <v>2.9996861140000002</v>
      </c>
      <c r="S55">
        <v>3.8047740294999999</v>
      </c>
      <c r="T55">
        <v>9.4429070700000004</v>
      </c>
    </row>
    <row r="56" spans="1:20" x14ac:dyDescent="0.2">
      <c r="A56">
        <v>46</v>
      </c>
      <c r="B56" t="s">
        <v>166</v>
      </c>
      <c r="C56">
        <v>2.8257526999999998</v>
      </c>
      <c r="D56">
        <v>4.3431743899999997</v>
      </c>
      <c r="E56">
        <v>5.3012351600000001</v>
      </c>
      <c r="F56">
        <v>28.546093540000001</v>
      </c>
      <c r="H56">
        <v>46</v>
      </c>
      <c r="I56" t="s">
        <v>42</v>
      </c>
      <c r="J56">
        <v>0.84205211000000002</v>
      </c>
      <c r="K56">
        <v>7.7278895500000004</v>
      </c>
      <c r="L56">
        <v>6.4941182489999996</v>
      </c>
      <c r="M56">
        <v>9.7955600700000005</v>
      </c>
      <c r="O56">
        <v>46</v>
      </c>
      <c r="P56" t="s">
        <v>54</v>
      </c>
      <c r="Q56">
        <v>4.4588038689999996</v>
      </c>
      <c r="R56">
        <v>0.36718787400000003</v>
      </c>
      <c r="S56">
        <v>3.6110024464000001</v>
      </c>
      <c r="T56">
        <v>9.07351083</v>
      </c>
    </row>
    <row r="57" spans="1:20" x14ac:dyDescent="0.2">
      <c r="A57">
        <v>47</v>
      </c>
      <c r="B57" t="s">
        <v>93</v>
      </c>
      <c r="C57">
        <v>1.47621425</v>
      </c>
      <c r="D57">
        <v>6.4881710500000001</v>
      </c>
      <c r="E57">
        <v>5.1406868399999999</v>
      </c>
      <c r="F57">
        <v>30.464943130000002</v>
      </c>
      <c r="H57">
        <v>47</v>
      </c>
      <c r="I57" t="s">
        <v>48</v>
      </c>
      <c r="J57">
        <v>2.60590236</v>
      </c>
      <c r="K57">
        <v>5.5071723500000003</v>
      </c>
      <c r="L57">
        <v>6.059209826</v>
      </c>
      <c r="M57">
        <v>10.9864739</v>
      </c>
      <c r="O57">
        <v>47</v>
      </c>
      <c r="P57" t="s">
        <v>98</v>
      </c>
      <c r="Q57">
        <v>2.6832667149999998</v>
      </c>
      <c r="R57">
        <v>2.2460666539999998</v>
      </c>
      <c r="S57">
        <v>3.5919675228000001</v>
      </c>
      <c r="T57">
        <v>12.0916058</v>
      </c>
    </row>
    <row r="58" spans="1:20" x14ac:dyDescent="0.2">
      <c r="A58">
        <v>48</v>
      </c>
      <c r="B58" t="s">
        <v>40</v>
      </c>
      <c r="C58">
        <v>4.4308723900000002</v>
      </c>
      <c r="D58">
        <v>2.6743766299999998</v>
      </c>
      <c r="E58">
        <v>5.1296418499999996</v>
      </c>
      <c r="F58">
        <v>28.58292492</v>
      </c>
      <c r="H58">
        <v>48</v>
      </c>
      <c r="I58" t="s">
        <v>98</v>
      </c>
      <c r="J58">
        <v>2.8048602699999998</v>
      </c>
      <c r="K58">
        <v>5.1451996900000001</v>
      </c>
      <c r="L58">
        <v>6.0137223070000001</v>
      </c>
      <c r="M58">
        <v>13.214723169999999</v>
      </c>
      <c r="O58">
        <v>48</v>
      </c>
      <c r="P58" t="s">
        <v>23</v>
      </c>
      <c r="Q58">
        <v>-0.21180512100000001</v>
      </c>
      <c r="R58">
        <v>4.6800897069999996</v>
      </c>
      <c r="S58">
        <v>3.5143314398999999</v>
      </c>
      <c r="T58">
        <v>21.967954779999999</v>
      </c>
    </row>
    <row r="59" spans="1:20" x14ac:dyDescent="0.2">
      <c r="A59">
        <v>49</v>
      </c>
      <c r="B59" t="s">
        <v>102</v>
      </c>
      <c r="C59">
        <v>2.7135958200000001</v>
      </c>
      <c r="D59">
        <v>4.2246325300000001</v>
      </c>
      <c r="E59">
        <v>5.0186350500000003</v>
      </c>
      <c r="F59">
        <v>19.171473160000001</v>
      </c>
      <c r="H59">
        <v>49</v>
      </c>
      <c r="I59" t="s">
        <v>112</v>
      </c>
      <c r="J59">
        <v>4.16638647</v>
      </c>
      <c r="K59">
        <v>4.1512266799999997</v>
      </c>
      <c r="L59">
        <v>5.9221958649999999</v>
      </c>
      <c r="M59">
        <v>36.090954539999998</v>
      </c>
      <c r="O59">
        <v>49</v>
      </c>
      <c r="P59" t="s">
        <v>117</v>
      </c>
      <c r="Q59">
        <v>4.4592037160000002</v>
      </c>
      <c r="R59">
        <v>0.12219184800000001</v>
      </c>
      <c r="S59">
        <v>3.4630932649999999</v>
      </c>
      <c r="T59">
        <v>10.54263639</v>
      </c>
    </row>
    <row r="60" spans="1:20" x14ac:dyDescent="0.2">
      <c r="A60">
        <v>50</v>
      </c>
      <c r="B60" t="s">
        <v>52</v>
      </c>
      <c r="C60">
        <v>3.5712549999999998</v>
      </c>
      <c r="D60">
        <v>3.30722497</v>
      </c>
      <c r="E60">
        <v>5.0067079699999999</v>
      </c>
      <c r="F60">
        <v>20.961054369999999</v>
      </c>
      <c r="H60">
        <v>50</v>
      </c>
      <c r="I60" t="s">
        <v>57</v>
      </c>
      <c r="J60">
        <v>2.97054917</v>
      </c>
      <c r="K60">
        <v>5.3124274199999997</v>
      </c>
      <c r="L60">
        <v>5.8694815900000004</v>
      </c>
      <c r="M60">
        <v>1.08202844</v>
      </c>
      <c r="O60">
        <v>50</v>
      </c>
      <c r="P60" t="s">
        <v>27</v>
      </c>
      <c r="Q60">
        <v>-0.215198311</v>
      </c>
      <c r="R60">
        <v>4.6931094250000003</v>
      </c>
      <c r="S60">
        <v>3.4358693657999999</v>
      </c>
      <c r="T60">
        <v>15.50977368</v>
      </c>
    </row>
    <row r="61" spans="1:20" x14ac:dyDescent="0.2">
      <c r="A61">
        <v>51</v>
      </c>
      <c r="B61" t="s">
        <v>53</v>
      </c>
      <c r="C61">
        <v>3.8107990200000001</v>
      </c>
      <c r="D61">
        <v>2.9638798400000002</v>
      </c>
      <c r="E61">
        <v>4.9883023299999998</v>
      </c>
      <c r="F61">
        <v>11.09926067</v>
      </c>
      <c r="H61">
        <v>51</v>
      </c>
      <c r="I61" t="s">
        <v>123</v>
      </c>
      <c r="J61">
        <v>2.4841479099999999</v>
      </c>
      <c r="K61">
        <v>5.91073497</v>
      </c>
      <c r="L61">
        <v>5.8647152189999998</v>
      </c>
      <c r="M61">
        <v>9.7843134299999992</v>
      </c>
      <c r="O61">
        <v>51</v>
      </c>
      <c r="P61" t="s">
        <v>112</v>
      </c>
      <c r="Q61">
        <v>3.4211171600000001</v>
      </c>
      <c r="R61">
        <v>0.97967872899999997</v>
      </c>
      <c r="S61">
        <v>3.42083249</v>
      </c>
      <c r="T61">
        <v>28.269606159999999</v>
      </c>
    </row>
    <row r="62" spans="1:20" x14ac:dyDescent="0.2">
      <c r="A62">
        <v>52</v>
      </c>
      <c r="B62" t="s">
        <v>133</v>
      </c>
      <c r="C62">
        <v>4.6541014699999996</v>
      </c>
      <c r="D62">
        <v>2.1113916000000001</v>
      </c>
      <c r="E62">
        <v>4.9341768300000002</v>
      </c>
      <c r="F62">
        <v>30.25832802</v>
      </c>
      <c r="H62">
        <v>52</v>
      </c>
      <c r="I62" t="s">
        <v>34</v>
      </c>
      <c r="J62">
        <v>5.4808698199999997</v>
      </c>
      <c r="K62">
        <v>1.8359152999999999</v>
      </c>
      <c r="L62">
        <v>5.787847578</v>
      </c>
      <c r="M62">
        <v>19.553199849999999</v>
      </c>
      <c r="O62">
        <v>52</v>
      </c>
      <c r="P62" t="s">
        <v>53</v>
      </c>
      <c r="Q62">
        <v>5.7773421489999999</v>
      </c>
      <c r="R62">
        <v>-1.503007188</v>
      </c>
      <c r="S62">
        <v>3.3099175440000002</v>
      </c>
      <c r="T62">
        <v>10.02060161</v>
      </c>
    </row>
    <row r="63" spans="1:20" x14ac:dyDescent="0.2">
      <c r="A63">
        <v>53</v>
      </c>
      <c r="B63" t="s">
        <v>134</v>
      </c>
      <c r="C63">
        <v>1.6544964600000001</v>
      </c>
      <c r="D63">
        <v>4.9992648199999996</v>
      </c>
      <c r="E63">
        <v>4.7392360199999999</v>
      </c>
      <c r="F63">
        <v>26.461929550000001</v>
      </c>
      <c r="H63">
        <v>53</v>
      </c>
      <c r="I63" t="s">
        <v>22</v>
      </c>
      <c r="J63">
        <v>4.1666505699999998</v>
      </c>
      <c r="K63">
        <v>4.2578419600000004</v>
      </c>
      <c r="L63">
        <v>5.6796349829999997</v>
      </c>
      <c r="M63">
        <v>15.56414792</v>
      </c>
      <c r="O63">
        <v>53</v>
      </c>
      <c r="P63" t="s">
        <v>165</v>
      </c>
      <c r="Q63">
        <v>4.2983738709999999</v>
      </c>
      <c r="R63">
        <v>-4.1841837999999999E-2</v>
      </c>
      <c r="S63">
        <v>3.2154506259</v>
      </c>
      <c r="T63">
        <v>26.651449750000001</v>
      </c>
    </row>
    <row r="64" spans="1:20" x14ac:dyDescent="0.2">
      <c r="A64">
        <v>54</v>
      </c>
      <c r="B64" t="s">
        <v>167</v>
      </c>
      <c r="C64">
        <v>5.4121609299999998</v>
      </c>
      <c r="D64">
        <v>0.97360447999999999</v>
      </c>
      <c r="E64">
        <v>4.7238353100000001</v>
      </c>
      <c r="F64">
        <v>29.642812150000001</v>
      </c>
      <c r="H64">
        <v>54</v>
      </c>
      <c r="I64" t="s">
        <v>54</v>
      </c>
      <c r="J64">
        <v>2.8144316300000001</v>
      </c>
      <c r="K64">
        <v>6.2634925800000003</v>
      </c>
      <c r="L64">
        <v>5.6134350299999998</v>
      </c>
      <c r="M64">
        <v>7.49482406</v>
      </c>
      <c r="O64">
        <v>54</v>
      </c>
      <c r="P64" t="s">
        <v>121</v>
      </c>
      <c r="Q64">
        <v>3.777400348</v>
      </c>
      <c r="R64">
        <v>0.312909306</v>
      </c>
      <c r="S64">
        <v>3.1468170854999999</v>
      </c>
      <c r="T64">
        <v>26.02381858</v>
      </c>
    </row>
    <row r="65" spans="1:20" x14ac:dyDescent="0.2">
      <c r="A65">
        <v>55</v>
      </c>
      <c r="B65" t="s">
        <v>44</v>
      </c>
      <c r="C65">
        <v>3.43021142</v>
      </c>
      <c r="D65">
        <v>3.4535072499999999</v>
      </c>
      <c r="E65">
        <v>4.71755105</v>
      </c>
      <c r="F65">
        <v>15.429497420000001</v>
      </c>
      <c r="H65">
        <v>55</v>
      </c>
      <c r="I65" t="s">
        <v>105</v>
      </c>
      <c r="J65">
        <v>1.94299551</v>
      </c>
      <c r="K65">
        <v>6.0765523200000002</v>
      </c>
      <c r="L65">
        <v>5.5783473289999996</v>
      </c>
      <c r="M65">
        <v>27.8292571</v>
      </c>
      <c r="O65">
        <v>55</v>
      </c>
      <c r="P65" t="s">
        <v>103</v>
      </c>
      <c r="Q65">
        <v>0.88104523400000001</v>
      </c>
      <c r="R65">
        <v>3.1696934780000001</v>
      </c>
      <c r="S65">
        <v>3.1457859895000002</v>
      </c>
      <c r="T65">
        <v>25.49027559</v>
      </c>
    </row>
    <row r="66" spans="1:20" x14ac:dyDescent="0.2">
      <c r="A66">
        <v>56</v>
      </c>
      <c r="B66" t="s">
        <v>100</v>
      </c>
      <c r="C66">
        <v>3.7404900599999999</v>
      </c>
      <c r="D66">
        <v>3.1582591099999999</v>
      </c>
      <c r="E66">
        <v>4.6809304300000001</v>
      </c>
      <c r="F66">
        <v>11.99705677</v>
      </c>
      <c r="H66">
        <v>56</v>
      </c>
      <c r="I66" t="s">
        <v>102</v>
      </c>
      <c r="J66">
        <v>1.5839069400000001</v>
      </c>
      <c r="K66">
        <v>5.71246411</v>
      </c>
      <c r="L66">
        <v>5.3845010230000003</v>
      </c>
      <c r="M66">
        <v>15.91631048</v>
      </c>
      <c r="O66">
        <v>56</v>
      </c>
      <c r="P66" t="s">
        <v>49</v>
      </c>
      <c r="Q66">
        <v>1.5288248550000001</v>
      </c>
      <c r="R66">
        <v>2.736921084</v>
      </c>
      <c r="S66">
        <v>3.0932247655</v>
      </c>
      <c r="T66">
        <v>1.5319965499999999</v>
      </c>
    </row>
    <row r="67" spans="1:20" x14ac:dyDescent="0.2">
      <c r="A67">
        <v>57</v>
      </c>
      <c r="B67" t="s">
        <v>94</v>
      </c>
      <c r="C67">
        <v>2.9537553399999998</v>
      </c>
      <c r="D67">
        <v>2.7770016100000001</v>
      </c>
      <c r="E67">
        <v>4.5910257300000001</v>
      </c>
      <c r="F67">
        <v>22.87237708</v>
      </c>
      <c r="H67">
        <v>57</v>
      </c>
      <c r="I67" t="s">
        <v>52</v>
      </c>
      <c r="J67">
        <v>5.2441256100000002</v>
      </c>
      <c r="K67">
        <v>2.0217752999999998</v>
      </c>
      <c r="L67">
        <v>5.3554393129999998</v>
      </c>
      <c r="M67">
        <v>19.433915039999999</v>
      </c>
      <c r="O67">
        <v>57</v>
      </c>
      <c r="P67" t="s">
        <v>92</v>
      </c>
      <c r="Q67">
        <v>4.2699475939999996</v>
      </c>
      <c r="R67">
        <v>-2.1697121999999999E-2</v>
      </c>
      <c r="S67">
        <v>3.0407863719999999</v>
      </c>
      <c r="T67">
        <v>16.77439077</v>
      </c>
    </row>
    <row r="68" spans="1:20" x14ac:dyDescent="0.2">
      <c r="A68">
        <v>58</v>
      </c>
      <c r="B68" t="s">
        <v>43</v>
      </c>
      <c r="C68">
        <v>3.3506042100000002</v>
      </c>
      <c r="D68">
        <v>3.1524300300000001</v>
      </c>
      <c r="E68">
        <v>4.5828751900000002</v>
      </c>
      <c r="F68">
        <v>7.6824067500000002</v>
      </c>
      <c r="H68">
        <v>58</v>
      </c>
      <c r="I68" t="s">
        <v>26</v>
      </c>
      <c r="J68">
        <v>3.2562431300000001</v>
      </c>
      <c r="K68">
        <v>3.5080881100000001</v>
      </c>
      <c r="L68">
        <v>5.3348525340000004</v>
      </c>
      <c r="M68">
        <v>32.278138720000001</v>
      </c>
      <c r="O68">
        <v>58</v>
      </c>
      <c r="P68" t="s">
        <v>51</v>
      </c>
      <c r="Q68">
        <v>1.8892899970000001</v>
      </c>
      <c r="R68">
        <v>1.928241369</v>
      </c>
      <c r="S68">
        <v>2.6705740285999999</v>
      </c>
      <c r="T68">
        <v>7.7161392900000001</v>
      </c>
    </row>
    <row r="69" spans="1:20" x14ac:dyDescent="0.2">
      <c r="A69">
        <v>59</v>
      </c>
      <c r="B69" t="s">
        <v>111</v>
      </c>
      <c r="C69">
        <v>2.12243643</v>
      </c>
      <c r="D69">
        <v>3.4650660900000001</v>
      </c>
      <c r="E69">
        <v>4.5406590700000002</v>
      </c>
      <c r="F69">
        <v>27.138601170000001</v>
      </c>
      <c r="H69">
        <v>59</v>
      </c>
      <c r="I69" t="s">
        <v>56</v>
      </c>
      <c r="J69">
        <v>2.7349645100000002</v>
      </c>
      <c r="K69">
        <v>3.5597094899999999</v>
      </c>
      <c r="L69">
        <v>5.2513621070000003</v>
      </c>
      <c r="M69">
        <v>5.9268155599999996</v>
      </c>
      <c r="O69">
        <v>59</v>
      </c>
      <c r="P69" t="s">
        <v>45</v>
      </c>
      <c r="Q69">
        <v>4.0130989760000002</v>
      </c>
      <c r="R69">
        <v>-1.019609201</v>
      </c>
      <c r="S69">
        <v>2.6085371229000001</v>
      </c>
      <c r="T69">
        <v>5.0141683099999996</v>
      </c>
    </row>
    <row r="70" spans="1:20" x14ac:dyDescent="0.2">
      <c r="A70">
        <v>60</v>
      </c>
      <c r="B70" t="s">
        <v>39</v>
      </c>
      <c r="C70">
        <v>5.1613672900000003</v>
      </c>
      <c r="D70">
        <v>0.38364928999999998</v>
      </c>
      <c r="E70">
        <v>4.4788171400000003</v>
      </c>
      <c r="F70">
        <v>31.36547921</v>
      </c>
      <c r="H70">
        <v>60</v>
      </c>
      <c r="I70" t="s">
        <v>45</v>
      </c>
      <c r="J70">
        <v>3.0983415500000002</v>
      </c>
      <c r="K70">
        <v>3.6169161999999999</v>
      </c>
      <c r="L70">
        <v>4.881824108</v>
      </c>
      <c r="M70">
        <v>8.5206045600000007</v>
      </c>
      <c r="O70">
        <v>60</v>
      </c>
      <c r="P70" t="s">
        <v>97</v>
      </c>
      <c r="Q70">
        <v>2.548811444</v>
      </c>
      <c r="R70">
        <v>0.96379614000000002</v>
      </c>
      <c r="S70">
        <v>2.5415261615000002</v>
      </c>
      <c r="T70">
        <v>24.480504710000002</v>
      </c>
    </row>
    <row r="71" spans="1:20" x14ac:dyDescent="0.2">
      <c r="A71">
        <v>61</v>
      </c>
      <c r="B71" t="s">
        <v>49</v>
      </c>
      <c r="C71">
        <v>2.4072678999999999</v>
      </c>
      <c r="D71">
        <v>4.27177249</v>
      </c>
      <c r="E71">
        <v>4.47539</v>
      </c>
      <c r="F71">
        <v>3.9756538400000001</v>
      </c>
      <c r="H71">
        <v>61</v>
      </c>
      <c r="I71" t="s">
        <v>38</v>
      </c>
      <c r="J71">
        <v>1.51442067</v>
      </c>
      <c r="K71">
        <v>5.7116625900000004</v>
      </c>
      <c r="L71">
        <v>4.8622136219999996</v>
      </c>
      <c r="M71">
        <v>7.9852501699999996</v>
      </c>
      <c r="O71">
        <v>61</v>
      </c>
      <c r="P71" t="s">
        <v>127</v>
      </c>
      <c r="Q71">
        <v>3.7013544010000001</v>
      </c>
      <c r="R71">
        <v>-0.34000871500000002</v>
      </c>
      <c r="S71">
        <v>2.5339861741999998</v>
      </c>
      <c r="T71">
        <v>28.015183650000001</v>
      </c>
    </row>
    <row r="72" spans="1:20" x14ac:dyDescent="0.2">
      <c r="A72">
        <v>62</v>
      </c>
      <c r="B72" t="s">
        <v>124</v>
      </c>
      <c r="C72">
        <v>5.3873562899999996</v>
      </c>
      <c r="D72">
        <v>0.26815369</v>
      </c>
      <c r="E72">
        <v>4.3499960900000003</v>
      </c>
      <c r="F72">
        <v>30.334020720000002</v>
      </c>
      <c r="H72">
        <v>62</v>
      </c>
      <c r="I72" t="s">
        <v>104</v>
      </c>
      <c r="J72">
        <v>3.70638354</v>
      </c>
      <c r="K72">
        <v>2.9773359699999999</v>
      </c>
      <c r="L72">
        <v>4.6967384599999997</v>
      </c>
      <c r="M72">
        <v>26.15043841</v>
      </c>
      <c r="O72">
        <v>62</v>
      </c>
      <c r="P72" t="s">
        <v>114</v>
      </c>
      <c r="Q72">
        <v>3.6158790920000001</v>
      </c>
      <c r="R72">
        <v>-0.32852655800000002</v>
      </c>
      <c r="S72">
        <v>2.5276523480000002</v>
      </c>
      <c r="T72">
        <v>23.590937319999998</v>
      </c>
    </row>
    <row r="73" spans="1:20" x14ac:dyDescent="0.2">
      <c r="A73">
        <v>63</v>
      </c>
      <c r="B73" t="s">
        <v>47</v>
      </c>
      <c r="C73">
        <v>4.51975046</v>
      </c>
      <c r="D73">
        <v>1.9658706699999999</v>
      </c>
      <c r="E73">
        <v>4.2798648000000004</v>
      </c>
      <c r="F73">
        <v>16.27603302</v>
      </c>
      <c r="H73">
        <v>63</v>
      </c>
      <c r="I73" t="s">
        <v>129</v>
      </c>
      <c r="J73">
        <v>2.9075369499999999</v>
      </c>
      <c r="K73">
        <v>3.0985718000000002</v>
      </c>
      <c r="L73">
        <v>4.6300819569999998</v>
      </c>
      <c r="M73">
        <v>11.689724610000001</v>
      </c>
      <c r="O73">
        <v>63</v>
      </c>
      <c r="P73" t="s">
        <v>118</v>
      </c>
      <c r="Q73">
        <v>1.965942281</v>
      </c>
      <c r="R73">
        <v>1.4986029839999999</v>
      </c>
      <c r="S73">
        <v>2.5044597304999998</v>
      </c>
      <c r="T73">
        <v>21.94763039</v>
      </c>
    </row>
    <row r="74" spans="1:20" x14ac:dyDescent="0.2">
      <c r="A74">
        <v>64</v>
      </c>
      <c r="B74" t="s">
        <v>96</v>
      </c>
      <c r="C74">
        <v>0.96598222</v>
      </c>
      <c r="D74">
        <v>4.5811647400000002</v>
      </c>
      <c r="E74">
        <v>4.2488295799999998</v>
      </c>
      <c r="F74">
        <v>4.8302294100000003</v>
      </c>
      <c r="H74">
        <v>64</v>
      </c>
      <c r="I74" t="s">
        <v>141</v>
      </c>
      <c r="J74">
        <v>-0.15373406000000001</v>
      </c>
      <c r="K74">
        <v>5.94290947</v>
      </c>
      <c r="L74">
        <v>4.4786195529999997</v>
      </c>
      <c r="M74">
        <v>17.473056889999999</v>
      </c>
      <c r="O74">
        <v>64</v>
      </c>
      <c r="P74" t="s">
        <v>111</v>
      </c>
      <c r="Q74">
        <v>0.59521352400000005</v>
      </c>
      <c r="R74">
        <v>2.7641186590000002</v>
      </c>
      <c r="S74">
        <v>2.4933861822000001</v>
      </c>
      <c r="T74">
        <v>23.723046270000001</v>
      </c>
    </row>
    <row r="75" spans="1:20" x14ac:dyDescent="0.2">
      <c r="A75">
        <v>65</v>
      </c>
      <c r="B75" t="s">
        <v>56</v>
      </c>
      <c r="C75">
        <v>0.25218931</v>
      </c>
      <c r="D75">
        <v>5.40560785</v>
      </c>
      <c r="E75">
        <v>4.1086622200000003</v>
      </c>
      <c r="F75">
        <v>5.7310641999999996</v>
      </c>
      <c r="H75">
        <v>65</v>
      </c>
      <c r="I75" t="s">
        <v>99</v>
      </c>
      <c r="J75">
        <v>0.96828751999999996</v>
      </c>
      <c r="K75">
        <v>5.3601131200000003</v>
      </c>
      <c r="L75">
        <v>4.4227599079999997</v>
      </c>
      <c r="M75">
        <v>30.064091950000002</v>
      </c>
      <c r="O75">
        <v>65</v>
      </c>
      <c r="P75" t="s">
        <v>148</v>
      </c>
      <c r="Q75">
        <v>3.043232546</v>
      </c>
      <c r="R75">
        <v>5.9527841999999997E-2</v>
      </c>
      <c r="S75">
        <v>2.4248116809</v>
      </c>
      <c r="T75">
        <v>22.949863629999999</v>
      </c>
    </row>
    <row r="76" spans="1:20" x14ac:dyDescent="0.2">
      <c r="A76">
        <v>66</v>
      </c>
      <c r="B76" t="s">
        <v>116</v>
      </c>
      <c r="C76">
        <v>3.9667267499999999</v>
      </c>
      <c r="D76">
        <v>1.9005625500000001</v>
      </c>
      <c r="E76">
        <v>4.0509396300000002</v>
      </c>
      <c r="F76">
        <v>28.688481169999999</v>
      </c>
      <c r="H76">
        <v>66</v>
      </c>
      <c r="I76" t="s">
        <v>111</v>
      </c>
      <c r="J76">
        <v>1.9954378100000001</v>
      </c>
      <c r="K76">
        <v>3.3475247399999999</v>
      </c>
      <c r="L76">
        <v>4.2785793510000003</v>
      </c>
      <c r="M76">
        <v>25.463375020000001</v>
      </c>
      <c r="O76">
        <v>66</v>
      </c>
      <c r="P76" t="s">
        <v>41</v>
      </c>
      <c r="Q76">
        <v>3.410241895</v>
      </c>
      <c r="R76">
        <v>-4.4349489999999997E-3</v>
      </c>
      <c r="S76">
        <v>2.4018649989999998</v>
      </c>
      <c r="T76">
        <v>4.6145319200000001</v>
      </c>
    </row>
    <row r="77" spans="1:20" x14ac:dyDescent="0.2">
      <c r="A77">
        <v>67</v>
      </c>
      <c r="B77" t="s">
        <v>120</v>
      </c>
      <c r="C77">
        <v>-0.63242787</v>
      </c>
      <c r="D77">
        <v>5.0373114399999999</v>
      </c>
      <c r="E77">
        <v>3.9733078499999999</v>
      </c>
      <c r="F77">
        <v>20.951129330000001</v>
      </c>
      <c r="H77">
        <v>67</v>
      </c>
      <c r="I77" t="s">
        <v>125</v>
      </c>
      <c r="J77">
        <v>0.79683901999999995</v>
      </c>
      <c r="K77">
        <v>4.9777145799999998</v>
      </c>
      <c r="L77">
        <v>4.2527563610000003</v>
      </c>
      <c r="M77">
        <v>25.733747839999999</v>
      </c>
      <c r="O77">
        <v>67</v>
      </c>
      <c r="P77" t="s">
        <v>120</v>
      </c>
      <c r="Q77">
        <v>1.0138722330000001</v>
      </c>
      <c r="R77">
        <v>2.4374440700000002</v>
      </c>
      <c r="S77">
        <v>2.3493181910000001</v>
      </c>
      <c r="T77">
        <v>19.08413638</v>
      </c>
    </row>
    <row r="78" spans="1:20" x14ac:dyDescent="0.2">
      <c r="A78">
        <v>68</v>
      </c>
      <c r="B78" t="s">
        <v>48</v>
      </c>
      <c r="C78">
        <v>2.1613255699999998</v>
      </c>
      <c r="D78">
        <v>3.5911227800000001</v>
      </c>
      <c r="E78">
        <v>3.9371497899999999</v>
      </c>
      <c r="F78">
        <v>11.94495263</v>
      </c>
      <c r="H78">
        <v>68</v>
      </c>
      <c r="I78" t="s">
        <v>166</v>
      </c>
      <c r="J78">
        <v>2.8120679499999999</v>
      </c>
      <c r="K78">
        <v>2.7286309700000002</v>
      </c>
      <c r="L78">
        <v>4.0946167249999998</v>
      </c>
      <c r="M78">
        <v>29.539217220000001</v>
      </c>
      <c r="O78">
        <v>68</v>
      </c>
      <c r="P78" t="s">
        <v>150</v>
      </c>
      <c r="Q78">
        <v>1.338479494</v>
      </c>
      <c r="R78">
        <v>1.892745766</v>
      </c>
      <c r="S78">
        <v>2.331036009</v>
      </c>
      <c r="T78">
        <v>0.39672331999999999</v>
      </c>
    </row>
    <row r="79" spans="1:20" x14ac:dyDescent="0.2">
      <c r="A79">
        <v>69</v>
      </c>
      <c r="B79" t="s">
        <v>118</v>
      </c>
      <c r="C79">
        <v>2.0368000999999998</v>
      </c>
      <c r="D79">
        <v>3.5881402599999999</v>
      </c>
      <c r="E79">
        <v>3.9356561499999998</v>
      </c>
      <c r="F79">
        <v>14.6960278</v>
      </c>
      <c r="H79">
        <v>69</v>
      </c>
      <c r="I79" t="s">
        <v>136</v>
      </c>
      <c r="J79">
        <v>2.30535405</v>
      </c>
      <c r="K79">
        <v>3.6960666799999999</v>
      </c>
      <c r="L79">
        <v>4.0499698090000003</v>
      </c>
      <c r="M79">
        <v>22.139787819999999</v>
      </c>
      <c r="O79">
        <v>69</v>
      </c>
      <c r="P79" t="s">
        <v>125</v>
      </c>
      <c r="Q79">
        <v>-0.66808480400000003</v>
      </c>
      <c r="R79">
        <v>4.0359955039999997</v>
      </c>
      <c r="S79">
        <v>2.2873260216000002</v>
      </c>
      <c r="T79">
        <v>22.281103009999999</v>
      </c>
    </row>
    <row r="80" spans="1:20" x14ac:dyDescent="0.2">
      <c r="A80">
        <v>70</v>
      </c>
      <c r="B80" t="s">
        <v>50</v>
      </c>
      <c r="C80">
        <v>2.0260096999999999</v>
      </c>
      <c r="D80">
        <v>3.0138103799999998</v>
      </c>
      <c r="E80">
        <v>3.6175099199999998</v>
      </c>
      <c r="F80">
        <v>6.5926423700000001</v>
      </c>
      <c r="H80">
        <v>70</v>
      </c>
      <c r="I80" t="s">
        <v>92</v>
      </c>
      <c r="J80">
        <v>3.4456318600000002</v>
      </c>
      <c r="K80">
        <v>2.0542377599999999</v>
      </c>
      <c r="L80">
        <v>4.0455320559999999</v>
      </c>
      <c r="M80">
        <v>18.9159586</v>
      </c>
      <c r="O80">
        <v>70</v>
      </c>
      <c r="P80" t="s">
        <v>138</v>
      </c>
      <c r="Q80">
        <v>1.500458837</v>
      </c>
      <c r="R80">
        <v>1.8281427720000001</v>
      </c>
      <c r="S80">
        <v>2.2790245589000002</v>
      </c>
      <c r="T80">
        <v>8.6588337000000006</v>
      </c>
    </row>
    <row r="81" spans="1:20" x14ac:dyDescent="0.2">
      <c r="A81">
        <v>71</v>
      </c>
      <c r="B81" t="s">
        <v>112</v>
      </c>
      <c r="C81">
        <v>3.8438792799999999</v>
      </c>
      <c r="D81">
        <v>0.35895241999999999</v>
      </c>
      <c r="E81">
        <v>3.56868001</v>
      </c>
      <c r="F81">
        <v>29.973845310000002</v>
      </c>
      <c r="H81">
        <v>71</v>
      </c>
      <c r="I81" t="s">
        <v>120</v>
      </c>
      <c r="J81">
        <v>1.80322231</v>
      </c>
      <c r="K81">
        <v>4.0132971599999996</v>
      </c>
      <c r="L81">
        <v>3.9057649460000001</v>
      </c>
      <c r="M81">
        <v>19.179742180000002</v>
      </c>
      <c r="O81">
        <v>71</v>
      </c>
      <c r="P81" t="s">
        <v>58</v>
      </c>
      <c r="Q81">
        <v>1.3955833639999999</v>
      </c>
      <c r="R81">
        <v>1.6367558820000001</v>
      </c>
      <c r="S81">
        <v>2.2214185356999998</v>
      </c>
      <c r="T81">
        <v>6.1060289000000001</v>
      </c>
    </row>
    <row r="82" spans="1:20" x14ac:dyDescent="0.2">
      <c r="A82">
        <v>72</v>
      </c>
      <c r="B82" t="s">
        <v>54</v>
      </c>
      <c r="C82">
        <v>3.6656459199999998</v>
      </c>
      <c r="D82">
        <v>1.0690213</v>
      </c>
      <c r="E82">
        <v>3.5278449099999998</v>
      </c>
      <c r="F82">
        <v>7.9076290599999997</v>
      </c>
      <c r="H82">
        <v>72</v>
      </c>
      <c r="I82" t="s">
        <v>126</v>
      </c>
      <c r="J82">
        <v>3.2852839500000002</v>
      </c>
      <c r="K82">
        <v>2.25262882</v>
      </c>
      <c r="L82">
        <v>3.8705676609999999</v>
      </c>
      <c r="M82">
        <v>29.23569204</v>
      </c>
      <c r="O82">
        <v>72</v>
      </c>
      <c r="P82" t="s">
        <v>107</v>
      </c>
      <c r="Q82">
        <v>1.5968808539999999</v>
      </c>
      <c r="R82">
        <v>1.390111176</v>
      </c>
      <c r="S82">
        <v>2.1881710312</v>
      </c>
      <c r="T82">
        <v>15.40982125</v>
      </c>
    </row>
    <row r="83" spans="1:20" x14ac:dyDescent="0.2">
      <c r="A83">
        <v>73</v>
      </c>
      <c r="B83" t="s">
        <v>130</v>
      </c>
      <c r="C83">
        <v>3.0626920599999998</v>
      </c>
      <c r="D83">
        <v>1.74498837</v>
      </c>
      <c r="E83">
        <v>3.43464094</v>
      </c>
      <c r="F83">
        <v>30.243548780000001</v>
      </c>
      <c r="H83">
        <v>73</v>
      </c>
      <c r="I83" t="s">
        <v>165</v>
      </c>
      <c r="J83">
        <v>3.2170882399999998</v>
      </c>
      <c r="K83">
        <v>2.0997239900000002</v>
      </c>
      <c r="L83">
        <v>3.8194189390000002</v>
      </c>
      <c r="M83">
        <v>29.737631660000002</v>
      </c>
      <c r="O83">
        <v>73</v>
      </c>
      <c r="P83" t="s">
        <v>151</v>
      </c>
      <c r="Q83">
        <v>1.171954274</v>
      </c>
      <c r="R83">
        <v>1.903961483</v>
      </c>
      <c r="S83">
        <v>2.1791249387999998</v>
      </c>
      <c r="T83">
        <v>8.4813966099999991</v>
      </c>
    </row>
    <row r="84" spans="1:20" x14ac:dyDescent="0.2">
      <c r="A84">
        <v>74</v>
      </c>
      <c r="B84" t="s">
        <v>41</v>
      </c>
      <c r="C84">
        <v>3.2378841199999999</v>
      </c>
      <c r="D84">
        <v>1.82295031</v>
      </c>
      <c r="E84">
        <v>3.3419495600000002</v>
      </c>
      <c r="F84">
        <v>5.5657567700000001</v>
      </c>
      <c r="H84">
        <v>74</v>
      </c>
      <c r="I84" t="s">
        <v>113</v>
      </c>
      <c r="J84">
        <v>3.0356351199999998</v>
      </c>
      <c r="K84">
        <v>2.0921110000000001</v>
      </c>
      <c r="L84">
        <v>3.796490243</v>
      </c>
      <c r="M84">
        <v>31.487103650000002</v>
      </c>
      <c r="O84">
        <v>74</v>
      </c>
      <c r="P84" t="s">
        <v>141</v>
      </c>
      <c r="Q84">
        <v>2.9652499539999999</v>
      </c>
      <c r="R84">
        <v>4.2784147000000002E-2</v>
      </c>
      <c r="S84">
        <v>2.1236848004</v>
      </c>
      <c r="T84">
        <v>14.87277647</v>
      </c>
    </row>
    <row r="85" spans="1:20" x14ac:dyDescent="0.2">
      <c r="A85">
        <v>75</v>
      </c>
      <c r="B85" t="s">
        <v>140</v>
      </c>
      <c r="C85">
        <v>2.4805741499999998</v>
      </c>
      <c r="D85">
        <v>2.1267406700000002</v>
      </c>
      <c r="E85">
        <v>3.3075552899999998</v>
      </c>
      <c r="F85">
        <v>20.99324837</v>
      </c>
      <c r="H85">
        <v>75</v>
      </c>
      <c r="I85" t="s">
        <v>143</v>
      </c>
      <c r="J85">
        <v>2.1221146200000001</v>
      </c>
      <c r="K85">
        <v>2.89747719</v>
      </c>
      <c r="L85">
        <v>3.699919736</v>
      </c>
      <c r="M85">
        <v>6.9372778000000004</v>
      </c>
      <c r="O85">
        <v>75</v>
      </c>
      <c r="P85" t="s">
        <v>136</v>
      </c>
      <c r="Q85">
        <v>1.007408595</v>
      </c>
      <c r="R85">
        <v>1.9918539989999999</v>
      </c>
      <c r="S85">
        <v>2.1043883843</v>
      </c>
      <c r="T85">
        <v>21.430275760000001</v>
      </c>
    </row>
    <row r="86" spans="1:20" x14ac:dyDescent="0.2">
      <c r="A86">
        <v>76</v>
      </c>
      <c r="B86" t="s">
        <v>125</v>
      </c>
      <c r="C86">
        <v>1.2206676999999999</v>
      </c>
      <c r="D86">
        <v>3.5331655500000001</v>
      </c>
      <c r="E86">
        <v>3.2617635200000001</v>
      </c>
      <c r="F86">
        <v>24.27391609</v>
      </c>
      <c r="H86">
        <v>76</v>
      </c>
      <c r="I86" t="s">
        <v>167</v>
      </c>
      <c r="J86">
        <v>4.7743336899999997</v>
      </c>
      <c r="K86">
        <v>0.13573932999999999</v>
      </c>
      <c r="L86">
        <v>3.691098534</v>
      </c>
      <c r="M86">
        <v>29.29578042</v>
      </c>
      <c r="O86">
        <v>76</v>
      </c>
      <c r="P86" t="s">
        <v>166</v>
      </c>
      <c r="Q86">
        <v>1.809794004</v>
      </c>
      <c r="R86">
        <v>1.1733168110000001</v>
      </c>
      <c r="S86">
        <v>2.0963551829</v>
      </c>
      <c r="T86">
        <v>23.505872180000001</v>
      </c>
    </row>
    <row r="87" spans="1:20" x14ac:dyDescent="0.2">
      <c r="A87">
        <v>77</v>
      </c>
      <c r="B87" t="s">
        <v>97</v>
      </c>
      <c r="C87">
        <v>2.0215332799999999</v>
      </c>
      <c r="D87">
        <v>2.3348919399999999</v>
      </c>
      <c r="E87">
        <v>3.1465948099999999</v>
      </c>
      <c r="F87">
        <v>27.383297450000001</v>
      </c>
      <c r="H87">
        <v>77</v>
      </c>
      <c r="I87" t="s">
        <v>137</v>
      </c>
      <c r="J87">
        <v>2.7836855599999999</v>
      </c>
      <c r="K87">
        <v>2.1060573499999999</v>
      </c>
      <c r="L87">
        <v>3.6674490300000002</v>
      </c>
      <c r="M87">
        <v>27.353308699999999</v>
      </c>
      <c r="O87">
        <v>77</v>
      </c>
      <c r="P87" t="s">
        <v>40</v>
      </c>
      <c r="Q87">
        <v>1.87016947</v>
      </c>
      <c r="R87">
        <v>0.85360872300000001</v>
      </c>
      <c r="S87">
        <v>2.0879804610999999</v>
      </c>
      <c r="T87">
        <v>22.72942759</v>
      </c>
    </row>
    <row r="88" spans="1:20" x14ac:dyDescent="0.2">
      <c r="A88">
        <v>78</v>
      </c>
      <c r="B88" t="s">
        <v>142</v>
      </c>
      <c r="C88">
        <v>1.9254976800000001</v>
      </c>
      <c r="D88">
        <v>2.3939649599999999</v>
      </c>
      <c r="E88">
        <v>3.0671384599999998</v>
      </c>
      <c r="F88">
        <v>27.384900859999998</v>
      </c>
      <c r="H88">
        <v>78</v>
      </c>
      <c r="I88" t="s">
        <v>114</v>
      </c>
      <c r="J88">
        <v>3.4745606900000001</v>
      </c>
      <c r="K88">
        <v>1.18085061</v>
      </c>
      <c r="L88">
        <v>3.4791134640000001</v>
      </c>
      <c r="M88">
        <v>25.4144708</v>
      </c>
      <c r="O88">
        <v>78</v>
      </c>
      <c r="P88" t="s">
        <v>33</v>
      </c>
      <c r="Q88">
        <v>1.236281127</v>
      </c>
      <c r="R88">
        <v>1.6342485879999999</v>
      </c>
      <c r="S88">
        <v>1.9586365128000001</v>
      </c>
      <c r="T88">
        <v>21.067046430000001</v>
      </c>
    </row>
    <row r="89" spans="1:20" x14ac:dyDescent="0.2">
      <c r="A89">
        <v>79</v>
      </c>
      <c r="B89" t="s">
        <v>119</v>
      </c>
      <c r="C89">
        <v>2.47424015</v>
      </c>
      <c r="D89">
        <v>1.7389153500000001</v>
      </c>
      <c r="E89">
        <v>3.0655690600000001</v>
      </c>
      <c r="F89">
        <v>26.426596589999999</v>
      </c>
      <c r="H89">
        <v>79</v>
      </c>
      <c r="I89" t="s">
        <v>106</v>
      </c>
      <c r="J89">
        <v>1.8495442</v>
      </c>
      <c r="K89">
        <v>2.4246743099999999</v>
      </c>
      <c r="L89">
        <v>3.2083751149999999</v>
      </c>
      <c r="M89">
        <v>15.8316392</v>
      </c>
      <c r="O89">
        <v>79</v>
      </c>
      <c r="P89" t="s">
        <v>59</v>
      </c>
      <c r="Q89">
        <v>2.9391358950000002</v>
      </c>
      <c r="R89">
        <v>-0.40489033699999999</v>
      </c>
      <c r="S89">
        <v>1.8831605963</v>
      </c>
      <c r="T89">
        <v>2.7267739400000002</v>
      </c>
    </row>
    <row r="90" spans="1:20" x14ac:dyDescent="0.2">
      <c r="A90">
        <v>80</v>
      </c>
      <c r="B90" t="s">
        <v>105</v>
      </c>
      <c r="C90">
        <v>2.4960563499999999</v>
      </c>
      <c r="D90">
        <v>1.8303999500000001</v>
      </c>
      <c r="E90">
        <v>3.0451046700000002</v>
      </c>
      <c r="F90">
        <v>29.171381369999999</v>
      </c>
      <c r="H90">
        <v>80</v>
      </c>
      <c r="I90" t="s">
        <v>140</v>
      </c>
      <c r="J90">
        <v>1.64187649</v>
      </c>
      <c r="K90">
        <v>2.7845122500000001</v>
      </c>
      <c r="L90">
        <v>3.1491143529999999</v>
      </c>
      <c r="M90">
        <v>19.903277670000001</v>
      </c>
      <c r="O90">
        <v>80</v>
      </c>
      <c r="P90" t="s">
        <v>102</v>
      </c>
      <c r="Q90">
        <v>1.6272860010000001</v>
      </c>
      <c r="R90">
        <v>0.88558320899999998</v>
      </c>
      <c r="S90">
        <v>1.8500437827</v>
      </c>
      <c r="T90">
        <v>20.017232589999999</v>
      </c>
    </row>
    <row r="91" spans="1:20" x14ac:dyDescent="0.2">
      <c r="A91">
        <v>81</v>
      </c>
      <c r="B91" t="s">
        <v>126</v>
      </c>
      <c r="C91">
        <v>1.92345013</v>
      </c>
      <c r="D91">
        <v>2.5088121399999999</v>
      </c>
      <c r="E91">
        <v>2.9919756199999998</v>
      </c>
      <c r="F91">
        <v>27.573691660000001</v>
      </c>
      <c r="H91">
        <v>81</v>
      </c>
      <c r="I91" t="s">
        <v>119</v>
      </c>
      <c r="J91">
        <v>2.1394903799999998</v>
      </c>
      <c r="K91">
        <v>2.3596206799999999</v>
      </c>
      <c r="L91">
        <v>3.102205589</v>
      </c>
      <c r="M91">
        <v>24.01011725</v>
      </c>
      <c r="O91">
        <v>81</v>
      </c>
      <c r="P91" t="s">
        <v>128</v>
      </c>
      <c r="Q91">
        <v>3.3476244429999999</v>
      </c>
      <c r="R91">
        <v>-1.081098326</v>
      </c>
      <c r="S91">
        <v>1.8123706905000001</v>
      </c>
      <c r="T91">
        <v>7.46012261</v>
      </c>
    </row>
    <row r="92" spans="1:20" x14ac:dyDescent="0.2">
      <c r="A92">
        <v>82</v>
      </c>
      <c r="B92" t="s">
        <v>127</v>
      </c>
      <c r="C92">
        <v>1.1213198099999999</v>
      </c>
      <c r="D92">
        <v>3.1619584500000002</v>
      </c>
      <c r="E92">
        <v>2.9896863699999998</v>
      </c>
      <c r="F92">
        <v>28.58283887</v>
      </c>
      <c r="H92">
        <v>82</v>
      </c>
      <c r="I92" t="s">
        <v>43</v>
      </c>
      <c r="J92">
        <v>2.1511521899999999</v>
      </c>
      <c r="K92">
        <v>1.5605257800000001</v>
      </c>
      <c r="L92">
        <v>3.0367336859999998</v>
      </c>
      <c r="M92">
        <v>6.9131598500000004</v>
      </c>
      <c r="O92">
        <v>82</v>
      </c>
      <c r="P92" t="s">
        <v>119</v>
      </c>
      <c r="Q92">
        <v>2.748659859</v>
      </c>
      <c r="R92">
        <v>-0.54779060700000004</v>
      </c>
      <c r="S92">
        <v>1.6416516302999999</v>
      </c>
      <c r="T92">
        <v>23.969530110000001</v>
      </c>
    </row>
    <row r="93" spans="1:20" x14ac:dyDescent="0.2">
      <c r="A93">
        <v>83</v>
      </c>
      <c r="B93" t="s">
        <v>129</v>
      </c>
      <c r="C93">
        <v>-0.33407912000000001</v>
      </c>
      <c r="D93">
        <v>4.0477672399999998</v>
      </c>
      <c r="E93">
        <v>2.9738996700000002</v>
      </c>
      <c r="F93">
        <v>9.5615066399999993</v>
      </c>
      <c r="H93">
        <v>83</v>
      </c>
      <c r="I93" t="s">
        <v>58</v>
      </c>
      <c r="J93">
        <v>1.0975800600000001</v>
      </c>
      <c r="K93">
        <v>3.0264961499999998</v>
      </c>
      <c r="L93">
        <v>2.9774044910000002</v>
      </c>
      <c r="M93">
        <v>1.9270630500000001</v>
      </c>
      <c r="O93">
        <v>83</v>
      </c>
      <c r="P93" t="s">
        <v>129</v>
      </c>
      <c r="Q93">
        <v>1.285287193</v>
      </c>
      <c r="R93">
        <v>0.94978293599999997</v>
      </c>
      <c r="S93">
        <v>1.6323725486</v>
      </c>
      <c r="T93">
        <v>7.16482946</v>
      </c>
    </row>
    <row r="94" spans="1:20" x14ac:dyDescent="0.2">
      <c r="A94">
        <v>84</v>
      </c>
      <c r="B94" t="s">
        <v>58</v>
      </c>
      <c r="C94">
        <v>1.68905865</v>
      </c>
      <c r="D94">
        <v>2.5250515099999999</v>
      </c>
      <c r="E94">
        <v>2.96625622</v>
      </c>
      <c r="F94">
        <v>2.2592236300000001</v>
      </c>
      <c r="H94">
        <v>84</v>
      </c>
      <c r="I94" t="s">
        <v>55</v>
      </c>
      <c r="J94">
        <v>1.44185155</v>
      </c>
      <c r="K94">
        <v>2.80112724</v>
      </c>
      <c r="L94">
        <v>2.976117243</v>
      </c>
      <c r="M94">
        <v>2.1957625200000002</v>
      </c>
      <c r="O94">
        <v>84</v>
      </c>
      <c r="P94" t="s">
        <v>109</v>
      </c>
      <c r="Q94">
        <v>1.1125848250000001</v>
      </c>
      <c r="R94">
        <v>0.787177813</v>
      </c>
      <c r="S94">
        <v>1.4496248953999999</v>
      </c>
      <c r="T94">
        <v>24.244812379999999</v>
      </c>
    </row>
    <row r="95" spans="1:20" x14ac:dyDescent="0.2">
      <c r="A95">
        <v>85</v>
      </c>
      <c r="B95" t="s">
        <v>136</v>
      </c>
      <c r="C95">
        <v>0.57067979999999996</v>
      </c>
      <c r="D95">
        <v>3.5577894900000002</v>
      </c>
      <c r="E95">
        <v>2.9595207399999999</v>
      </c>
      <c r="F95">
        <v>21.631200419999999</v>
      </c>
      <c r="H95">
        <v>85</v>
      </c>
      <c r="I95" t="s">
        <v>130</v>
      </c>
      <c r="J95">
        <v>3.53454136</v>
      </c>
      <c r="K95">
        <v>0.46433127000000002</v>
      </c>
      <c r="L95">
        <v>2.8600328610000001</v>
      </c>
      <c r="M95">
        <v>32.763974609999998</v>
      </c>
      <c r="O95">
        <v>85</v>
      </c>
      <c r="P95" t="s">
        <v>60</v>
      </c>
      <c r="Q95">
        <v>1.132699101</v>
      </c>
      <c r="R95">
        <v>0.39574399799999999</v>
      </c>
      <c r="S95">
        <v>1.4187987549000001</v>
      </c>
      <c r="T95">
        <v>5.6292716399999998</v>
      </c>
    </row>
    <row r="96" spans="1:20" x14ac:dyDescent="0.2">
      <c r="A96">
        <v>86</v>
      </c>
      <c r="B96" t="s">
        <v>128</v>
      </c>
      <c r="C96">
        <v>0.58088735999999996</v>
      </c>
      <c r="D96">
        <v>2.9747263400000001</v>
      </c>
      <c r="E96">
        <v>2.95054975</v>
      </c>
      <c r="F96">
        <v>8.3316312700000008</v>
      </c>
      <c r="H96">
        <v>86</v>
      </c>
      <c r="I96" t="s">
        <v>122</v>
      </c>
      <c r="J96">
        <v>2.3464635299999999</v>
      </c>
      <c r="K96">
        <v>1.64847576</v>
      </c>
      <c r="L96">
        <v>2.7720236150000002</v>
      </c>
      <c r="M96">
        <v>28.98245829</v>
      </c>
      <c r="O96">
        <v>86</v>
      </c>
      <c r="P96" t="s">
        <v>123</v>
      </c>
      <c r="Q96">
        <v>1.711293645</v>
      </c>
      <c r="R96">
        <v>-9.4926091000000004E-2</v>
      </c>
      <c r="S96">
        <v>1.2823316303000001</v>
      </c>
      <c r="T96">
        <v>12.51499607</v>
      </c>
    </row>
    <row r="97" spans="1:20" x14ac:dyDescent="0.2">
      <c r="A97">
        <v>87</v>
      </c>
      <c r="B97" t="s">
        <v>138</v>
      </c>
      <c r="C97">
        <v>-0.34059208000000002</v>
      </c>
      <c r="D97">
        <v>4.2620827300000004</v>
      </c>
      <c r="E97">
        <v>2.8730213999999998</v>
      </c>
      <c r="F97">
        <v>4.1019495499999996</v>
      </c>
      <c r="H97">
        <v>87</v>
      </c>
      <c r="I97" t="s">
        <v>128</v>
      </c>
      <c r="J97">
        <v>0.96323641999999998</v>
      </c>
      <c r="K97">
        <v>2.8218501900000001</v>
      </c>
      <c r="L97">
        <v>2.689058003</v>
      </c>
      <c r="M97">
        <v>9.7810684600000002</v>
      </c>
      <c r="O97">
        <v>87</v>
      </c>
      <c r="P97" t="s">
        <v>130</v>
      </c>
      <c r="Q97">
        <v>2.9679629009999999</v>
      </c>
      <c r="R97">
        <v>-1.231990237</v>
      </c>
      <c r="S97">
        <v>1.2772791834999999</v>
      </c>
      <c r="T97">
        <v>26.005775530000001</v>
      </c>
    </row>
    <row r="98" spans="1:20" x14ac:dyDescent="0.2">
      <c r="A98">
        <v>88</v>
      </c>
      <c r="B98" t="s">
        <v>117</v>
      </c>
      <c r="C98">
        <v>0.66878221000000004</v>
      </c>
      <c r="D98">
        <v>3.3727989100000002</v>
      </c>
      <c r="E98">
        <v>2.8378371900000001</v>
      </c>
      <c r="F98">
        <v>8.9644060700000008</v>
      </c>
      <c r="H98">
        <v>88</v>
      </c>
      <c r="I98" t="s">
        <v>134</v>
      </c>
      <c r="J98">
        <v>1.3223420299999999</v>
      </c>
      <c r="K98">
        <v>2.16090406</v>
      </c>
      <c r="L98">
        <v>2.6408575160000001</v>
      </c>
      <c r="M98">
        <v>28.636292210000001</v>
      </c>
      <c r="O98">
        <v>88</v>
      </c>
      <c r="P98" t="s">
        <v>96</v>
      </c>
      <c r="Q98">
        <v>0.828435594</v>
      </c>
      <c r="R98">
        <v>0.81796732800000005</v>
      </c>
      <c r="S98">
        <v>1.2004022322000001</v>
      </c>
      <c r="T98">
        <v>2.1637629</v>
      </c>
    </row>
    <row r="99" spans="1:20" x14ac:dyDescent="0.2">
      <c r="A99">
        <v>89</v>
      </c>
      <c r="B99" t="s">
        <v>137</v>
      </c>
      <c r="C99">
        <v>1.3810708</v>
      </c>
      <c r="D99">
        <v>2.6216592400000001</v>
      </c>
      <c r="E99">
        <v>2.8127822199999999</v>
      </c>
      <c r="F99">
        <v>24.87413961</v>
      </c>
      <c r="H99">
        <v>89</v>
      </c>
      <c r="I99" t="s">
        <v>97</v>
      </c>
      <c r="J99">
        <v>2.80499638</v>
      </c>
      <c r="K99">
        <v>0.72962342999999996</v>
      </c>
      <c r="L99">
        <v>2.5178632809999999</v>
      </c>
      <c r="M99">
        <v>24.12740307</v>
      </c>
      <c r="O99">
        <v>89</v>
      </c>
      <c r="P99" t="s">
        <v>135</v>
      </c>
      <c r="Q99">
        <v>0.18180131599999999</v>
      </c>
      <c r="R99">
        <v>1.4145962089999999</v>
      </c>
      <c r="S99">
        <v>1.1519055211</v>
      </c>
      <c r="T99">
        <v>25.095676109999999</v>
      </c>
    </row>
    <row r="100" spans="1:20" x14ac:dyDescent="0.2">
      <c r="A100">
        <v>90</v>
      </c>
      <c r="B100" t="s">
        <v>114</v>
      </c>
      <c r="C100">
        <v>2.8069220800000001</v>
      </c>
      <c r="D100">
        <v>1.2008285400000001</v>
      </c>
      <c r="E100">
        <v>2.7957329099999999</v>
      </c>
      <c r="F100">
        <v>25.970923549999998</v>
      </c>
      <c r="H100">
        <v>90</v>
      </c>
      <c r="I100" t="s">
        <v>139</v>
      </c>
      <c r="J100">
        <v>0.19350476999999999</v>
      </c>
      <c r="K100">
        <v>3.1843607700000001</v>
      </c>
      <c r="L100">
        <v>2.4972042750000001</v>
      </c>
      <c r="M100">
        <v>29.691101979999999</v>
      </c>
      <c r="O100">
        <v>90</v>
      </c>
      <c r="P100" t="s">
        <v>147</v>
      </c>
      <c r="Q100">
        <v>-7.3495729999999999E-3</v>
      </c>
      <c r="R100">
        <v>1.639091571</v>
      </c>
      <c r="S100">
        <v>1.1259149676</v>
      </c>
      <c r="T100">
        <v>26.924911510000001</v>
      </c>
    </row>
    <row r="101" spans="1:20" x14ac:dyDescent="0.2">
      <c r="A101">
        <v>91</v>
      </c>
      <c r="B101" t="s">
        <v>99</v>
      </c>
      <c r="C101">
        <v>9.0684280000000006E-2</v>
      </c>
      <c r="D101">
        <v>3.40091579</v>
      </c>
      <c r="E101">
        <v>2.7082373099999999</v>
      </c>
      <c r="F101">
        <v>27.49317126</v>
      </c>
      <c r="H101">
        <v>91</v>
      </c>
      <c r="I101" t="s">
        <v>168</v>
      </c>
      <c r="J101">
        <v>2.6971331699999999</v>
      </c>
      <c r="K101">
        <v>0.78616529000000002</v>
      </c>
      <c r="L101">
        <v>2.4634190089999999</v>
      </c>
      <c r="M101">
        <v>29.781533459999999</v>
      </c>
      <c r="O101">
        <v>91</v>
      </c>
      <c r="P101" t="s">
        <v>57</v>
      </c>
      <c r="Q101">
        <v>1.277424994</v>
      </c>
      <c r="R101">
        <v>-2.1195776E-2</v>
      </c>
      <c r="S101">
        <v>1.0568901539</v>
      </c>
      <c r="T101">
        <v>0.54933600000000005</v>
      </c>
    </row>
    <row r="102" spans="1:20" x14ac:dyDescent="0.2">
      <c r="A102">
        <v>92</v>
      </c>
      <c r="B102" t="s">
        <v>107</v>
      </c>
      <c r="C102">
        <v>1.3097698099999999</v>
      </c>
      <c r="D102">
        <v>2.5176909799999998</v>
      </c>
      <c r="E102">
        <v>2.7040122499999999</v>
      </c>
      <c r="F102">
        <v>12.539718860000001</v>
      </c>
      <c r="H102">
        <v>92</v>
      </c>
      <c r="I102" t="s">
        <v>59</v>
      </c>
      <c r="J102">
        <v>2.1493765900000001</v>
      </c>
      <c r="K102">
        <v>1.3657994</v>
      </c>
      <c r="L102">
        <v>2.442392302</v>
      </c>
      <c r="M102">
        <v>4.9100028299999998</v>
      </c>
      <c r="O102">
        <v>92</v>
      </c>
      <c r="P102" t="s">
        <v>113</v>
      </c>
      <c r="Q102">
        <v>1.280194579</v>
      </c>
      <c r="R102">
        <v>0.23106513000000001</v>
      </c>
      <c r="S102">
        <v>1.0412224742</v>
      </c>
      <c r="T102">
        <v>24.90575029</v>
      </c>
    </row>
    <row r="103" spans="1:20" x14ac:dyDescent="0.2">
      <c r="A103">
        <v>93</v>
      </c>
      <c r="B103" t="s">
        <v>104</v>
      </c>
      <c r="C103">
        <v>1.41286723</v>
      </c>
      <c r="D103">
        <v>2.0379935599999999</v>
      </c>
      <c r="E103">
        <v>2.7010632399999999</v>
      </c>
      <c r="F103">
        <v>29.315732350000001</v>
      </c>
      <c r="H103">
        <v>93</v>
      </c>
      <c r="I103" t="s">
        <v>118</v>
      </c>
      <c r="J103">
        <v>3.2318462299999999</v>
      </c>
      <c r="K103">
        <v>-7.2755829999999994E-2</v>
      </c>
      <c r="L103">
        <v>2.400989118</v>
      </c>
      <c r="M103">
        <v>15.529574930000001</v>
      </c>
      <c r="O103">
        <v>93</v>
      </c>
      <c r="P103" t="s">
        <v>99</v>
      </c>
      <c r="Q103">
        <v>-0.11232041600000001</v>
      </c>
      <c r="R103">
        <v>1.1888712299999999</v>
      </c>
      <c r="S103">
        <v>0.81931792160000005</v>
      </c>
      <c r="T103">
        <v>24.918555569999999</v>
      </c>
    </row>
    <row r="104" spans="1:20" x14ac:dyDescent="0.2">
      <c r="A104">
        <v>94</v>
      </c>
      <c r="B104" t="s">
        <v>143</v>
      </c>
      <c r="C104">
        <v>1.82580188</v>
      </c>
      <c r="D104">
        <v>1.67233839</v>
      </c>
      <c r="E104">
        <v>2.6393221599999999</v>
      </c>
      <c r="F104">
        <v>8.6000916699999994</v>
      </c>
      <c r="H104">
        <v>94</v>
      </c>
      <c r="I104" t="s">
        <v>103</v>
      </c>
      <c r="J104">
        <v>1.87233436</v>
      </c>
      <c r="K104">
        <v>1.28796237</v>
      </c>
      <c r="L104">
        <v>2.2717508510000002</v>
      </c>
      <c r="M104">
        <v>30.02498679</v>
      </c>
      <c r="O104">
        <v>94</v>
      </c>
      <c r="P104" t="s">
        <v>61</v>
      </c>
      <c r="Q104">
        <v>-6.7787510000000004E-3</v>
      </c>
      <c r="R104">
        <v>1.417042634</v>
      </c>
      <c r="S104">
        <v>0.81446530360000002</v>
      </c>
      <c r="T104">
        <v>0.21993964999999999</v>
      </c>
    </row>
    <row r="105" spans="1:20" x14ac:dyDescent="0.2">
      <c r="A105">
        <v>95</v>
      </c>
      <c r="B105" t="s">
        <v>168</v>
      </c>
      <c r="C105">
        <v>2.6990012000000001</v>
      </c>
      <c r="D105">
        <v>0.80654873000000005</v>
      </c>
      <c r="E105">
        <v>2.5776095400000001</v>
      </c>
      <c r="F105">
        <v>26.40277858</v>
      </c>
      <c r="H105">
        <v>95</v>
      </c>
      <c r="I105" t="s">
        <v>142</v>
      </c>
      <c r="J105">
        <v>1.62581314</v>
      </c>
      <c r="K105">
        <v>1.3712604900000001</v>
      </c>
      <c r="L105">
        <v>2.1877957289999999</v>
      </c>
      <c r="M105">
        <v>30.016533899999999</v>
      </c>
      <c r="O105">
        <v>95</v>
      </c>
      <c r="P105" t="s">
        <v>105</v>
      </c>
      <c r="Q105">
        <v>1.926798223</v>
      </c>
      <c r="R105">
        <v>-0.90799276900000003</v>
      </c>
      <c r="S105">
        <v>0.75388230030000003</v>
      </c>
      <c r="T105">
        <v>23.244702350000001</v>
      </c>
    </row>
    <row r="106" spans="1:20" x14ac:dyDescent="0.2">
      <c r="A106">
        <v>96</v>
      </c>
      <c r="B106" t="s">
        <v>144</v>
      </c>
      <c r="C106">
        <v>1.2729484</v>
      </c>
      <c r="D106">
        <v>2.4188411799999998</v>
      </c>
      <c r="E106">
        <v>2.5727218999999999</v>
      </c>
      <c r="F106">
        <v>29.341229210000002</v>
      </c>
      <c r="H106">
        <v>96</v>
      </c>
      <c r="I106" t="s">
        <v>117</v>
      </c>
      <c r="J106">
        <v>0.55542206000000005</v>
      </c>
      <c r="K106">
        <v>2.3385219899999998</v>
      </c>
      <c r="L106">
        <v>2.151986301</v>
      </c>
      <c r="M106">
        <v>7.6121049899999997</v>
      </c>
      <c r="O106">
        <v>96</v>
      </c>
      <c r="P106" t="s">
        <v>106</v>
      </c>
      <c r="Q106">
        <v>0.27283105200000002</v>
      </c>
      <c r="R106">
        <v>0.70883311299999996</v>
      </c>
      <c r="S106">
        <v>0.71966253840000005</v>
      </c>
      <c r="T106">
        <v>17.873942880000001</v>
      </c>
    </row>
    <row r="107" spans="1:20" x14ac:dyDescent="0.2">
      <c r="A107">
        <v>97</v>
      </c>
      <c r="B107" t="s">
        <v>37</v>
      </c>
      <c r="C107">
        <v>1.22900097</v>
      </c>
      <c r="D107">
        <v>2.3127319399999999</v>
      </c>
      <c r="E107">
        <v>2.48373255</v>
      </c>
      <c r="F107">
        <v>9.4708165599999994</v>
      </c>
      <c r="H107">
        <v>97</v>
      </c>
      <c r="I107" t="s">
        <v>109</v>
      </c>
      <c r="J107">
        <v>1.96049655</v>
      </c>
      <c r="K107">
        <v>1.03889962</v>
      </c>
      <c r="L107">
        <v>2.1336179340000001</v>
      </c>
      <c r="M107">
        <v>29.23215274</v>
      </c>
      <c r="O107">
        <v>97</v>
      </c>
      <c r="P107" t="s">
        <v>142</v>
      </c>
      <c r="Q107">
        <v>-0.25690994099999998</v>
      </c>
      <c r="R107">
        <v>1.209839723</v>
      </c>
      <c r="S107">
        <v>0.64927411980000005</v>
      </c>
      <c r="T107">
        <v>24.82766663</v>
      </c>
    </row>
    <row r="108" spans="1:20" x14ac:dyDescent="0.2">
      <c r="A108">
        <v>98</v>
      </c>
      <c r="B108" t="s">
        <v>51</v>
      </c>
      <c r="C108">
        <v>1.12705199</v>
      </c>
      <c r="D108">
        <v>2.2860833199999999</v>
      </c>
      <c r="E108">
        <v>2.43528638</v>
      </c>
      <c r="F108">
        <v>5.6890218499999996</v>
      </c>
      <c r="H108">
        <v>98</v>
      </c>
      <c r="I108" t="s">
        <v>127</v>
      </c>
      <c r="J108">
        <v>1.0713199799999999</v>
      </c>
      <c r="K108">
        <v>1.89817744</v>
      </c>
      <c r="L108">
        <v>2.1325878239999998</v>
      </c>
      <c r="M108">
        <v>30.836384450000001</v>
      </c>
      <c r="O108">
        <v>98</v>
      </c>
      <c r="P108" t="s">
        <v>55</v>
      </c>
      <c r="Q108">
        <v>7.0269909999999998E-3</v>
      </c>
      <c r="R108">
        <v>0.87541746499999995</v>
      </c>
      <c r="S108">
        <v>0.61943752409999997</v>
      </c>
      <c r="T108">
        <v>3.6287635699999998</v>
      </c>
    </row>
    <row r="109" spans="1:20" x14ac:dyDescent="0.2">
      <c r="A109">
        <v>99</v>
      </c>
      <c r="B109" t="s">
        <v>121</v>
      </c>
      <c r="C109">
        <v>3.29998396</v>
      </c>
      <c r="D109">
        <v>-8.7692560000000003E-2</v>
      </c>
      <c r="E109">
        <v>2.4325392199999998</v>
      </c>
      <c r="F109">
        <v>29.13858299</v>
      </c>
      <c r="H109">
        <v>99</v>
      </c>
      <c r="I109" t="s">
        <v>41</v>
      </c>
      <c r="J109">
        <v>1.0488297200000001</v>
      </c>
      <c r="K109">
        <v>2.1085836800000002</v>
      </c>
      <c r="L109">
        <v>2.1313205279999998</v>
      </c>
      <c r="M109">
        <v>4.6396291400000003</v>
      </c>
      <c r="O109">
        <v>99</v>
      </c>
      <c r="P109" t="s">
        <v>139</v>
      </c>
      <c r="Q109">
        <v>0.35763958800000001</v>
      </c>
      <c r="R109">
        <v>0.470815859</v>
      </c>
      <c r="S109">
        <v>0.58489393450000005</v>
      </c>
      <c r="T109">
        <v>24.071726739999999</v>
      </c>
    </row>
    <row r="110" spans="1:20" x14ac:dyDescent="0.2">
      <c r="A110">
        <v>100</v>
      </c>
      <c r="B110" t="s">
        <v>109</v>
      </c>
      <c r="C110">
        <v>1.8565495999999999</v>
      </c>
      <c r="D110">
        <v>1.3657596700000001</v>
      </c>
      <c r="E110">
        <v>2.3155326700000001</v>
      </c>
      <c r="F110">
        <v>29.334498799999999</v>
      </c>
      <c r="H110">
        <v>100</v>
      </c>
      <c r="I110" t="s">
        <v>100</v>
      </c>
      <c r="J110">
        <v>-1.1090947200000001</v>
      </c>
      <c r="K110">
        <v>4.35043399</v>
      </c>
      <c r="L110">
        <v>1.8668841970000001</v>
      </c>
      <c r="M110">
        <v>10.43289938</v>
      </c>
      <c r="O110">
        <v>100</v>
      </c>
      <c r="P110" t="s">
        <v>126</v>
      </c>
      <c r="Q110">
        <v>2.7287104100000001</v>
      </c>
      <c r="R110">
        <v>-2.315171538</v>
      </c>
      <c r="S110">
        <v>0.56214795939999995</v>
      </c>
      <c r="T110">
        <v>24.1336175</v>
      </c>
    </row>
    <row r="111" spans="1:20" x14ac:dyDescent="0.2">
      <c r="A111">
        <v>101</v>
      </c>
      <c r="B111" t="s">
        <v>123</v>
      </c>
      <c r="C111">
        <v>1.3663661899999999</v>
      </c>
      <c r="D111">
        <v>1.69226006</v>
      </c>
      <c r="E111">
        <v>2.3125721800000001</v>
      </c>
      <c r="F111">
        <v>11.52964046</v>
      </c>
      <c r="H111">
        <v>101</v>
      </c>
      <c r="I111" t="s">
        <v>135</v>
      </c>
      <c r="J111">
        <v>3.7340407400000002</v>
      </c>
      <c r="K111">
        <v>-1.4840439999999999</v>
      </c>
      <c r="L111">
        <v>1.732388314</v>
      </c>
      <c r="M111">
        <v>29.978924930000002</v>
      </c>
      <c r="O111">
        <v>101</v>
      </c>
      <c r="P111" t="s">
        <v>168</v>
      </c>
      <c r="Q111">
        <v>1.15944457</v>
      </c>
      <c r="R111">
        <v>-0.41866047899999997</v>
      </c>
      <c r="S111">
        <v>0.55723779709999999</v>
      </c>
      <c r="T111">
        <v>25.618726809999998</v>
      </c>
    </row>
    <row r="112" spans="1:20" x14ac:dyDescent="0.2">
      <c r="A112">
        <v>102</v>
      </c>
      <c r="B112" t="s">
        <v>113</v>
      </c>
      <c r="C112">
        <v>2.2581024599999999</v>
      </c>
      <c r="D112">
        <v>0.92086089000000004</v>
      </c>
      <c r="E112">
        <v>2.2678928200000001</v>
      </c>
      <c r="F112">
        <v>30.292140280000002</v>
      </c>
      <c r="H112">
        <v>102</v>
      </c>
      <c r="I112" t="s">
        <v>152</v>
      </c>
      <c r="J112">
        <v>-0.22287065</v>
      </c>
      <c r="K112">
        <v>2.4574573399999999</v>
      </c>
      <c r="L112">
        <v>1.644452783</v>
      </c>
      <c r="M112">
        <v>0.84363955000000002</v>
      </c>
      <c r="O112">
        <v>102</v>
      </c>
      <c r="P112" t="s">
        <v>50</v>
      </c>
      <c r="Q112">
        <v>1.291582569</v>
      </c>
      <c r="R112">
        <v>-0.63834897700000004</v>
      </c>
      <c r="S112">
        <v>0.55014908299999998</v>
      </c>
      <c r="T112">
        <v>5.7849579200000001</v>
      </c>
    </row>
    <row r="113" spans="1:20" x14ac:dyDescent="0.2">
      <c r="A113">
        <v>103</v>
      </c>
      <c r="B113" t="s">
        <v>122</v>
      </c>
      <c r="C113">
        <v>0.24587677999999999</v>
      </c>
      <c r="D113">
        <v>3.0243856400000002</v>
      </c>
      <c r="E113">
        <v>2.2549521700000001</v>
      </c>
      <c r="F113">
        <v>29.723923920000001</v>
      </c>
      <c r="H113">
        <v>103</v>
      </c>
      <c r="I113" t="s">
        <v>132</v>
      </c>
      <c r="J113">
        <v>-1.131975E-2</v>
      </c>
      <c r="K113">
        <v>2.4212591099999998</v>
      </c>
      <c r="L113">
        <v>1.628031405</v>
      </c>
      <c r="M113">
        <v>7.32041334</v>
      </c>
      <c r="O113">
        <v>103</v>
      </c>
      <c r="P113" t="s">
        <v>124</v>
      </c>
      <c r="Q113">
        <v>1.991793368</v>
      </c>
      <c r="R113">
        <v>-1.440342405</v>
      </c>
      <c r="S113">
        <v>0.48908562220000001</v>
      </c>
      <c r="T113">
        <v>25.06142621</v>
      </c>
    </row>
    <row r="114" spans="1:20" x14ac:dyDescent="0.2">
      <c r="A114">
        <v>104</v>
      </c>
      <c r="B114" t="s">
        <v>103</v>
      </c>
      <c r="C114">
        <v>1.36264908</v>
      </c>
      <c r="D114">
        <v>1.6225985599999999</v>
      </c>
      <c r="E114">
        <v>2.10686331</v>
      </c>
      <c r="F114">
        <v>29.72275415</v>
      </c>
      <c r="H114">
        <v>104</v>
      </c>
      <c r="I114" t="s">
        <v>121</v>
      </c>
      <c r="J114">
        <v>1.9753097799999999</v>
      </c>
      <c r="K114">
        <v>0.30843706999999998</v>
      </c>
      <c r="L114">
        <v>1.609006108</v>
      </c>
      <c r="M114">
        <v>30.046232369999998</v>
      </c>
      <c r="O114">
        <v>104</v>
      </c>
      <c r="P114" t="s">
        <v>143</v>
      </c>
      <c r="Q114">
        <v>8.9366076000000003E-2</v>
      </c>
      <c r="R114">
        <v>0.58677286200000001</v>
      </c>
      <c r="S114">
        <v>0.48784540970000001</v>
      </c>
      <c r="T114">
        <v>12.7597264</v>
      </c>
    </row>
    <row r="115" spans="1:20" x14ac:dyDescent="0.2">
      <c r="A115">
        <v>105</v>
      </c>
      <c r="B115" t="s">
        <v>139</v>
      </c>
      <c r="C115">
        <v>1.7557287100000001</v>
      </c>
      <c r="D115">
        <v>1.06588847</v>
      </c>
      <c r="E115">
        <v>2.0712435999999999</v>
      </c>
      <c r="F115">
        <v>28.499612370000001</v>
      </c>
      <c r="H115">
        <v>105</v>
      </c>
      <c r="I115" t="s">
        <v>116</v>
      </c>
      <c r="J115">
        <v>1.9390180299999999</v>
      </c>
      <c r="K115">
        <v>3.8134080000000001E-2</v>
      </c>
      <c r="L115">
        <v>1.4501645590000001</v>
      </c>
      <c r="M115">
        <v>28.989908010000001</v>
      </c>
      <c r="O115">
        <v>105</v>
      </c>
      <c r="P115" t="s">
        <v>153</v>
      </c>
      <c r="Q115">
        <v>0.68918271099999995</v>
      </c>
      <c r="R115">
        <v>-0.230024864</v>
      </c>
      <c r="S115">
        <v>0.3481763585</v>
      </c>
      <c r="T115">
        <v>5.4774007400000002</v>
      </c>
    </row>
    <row r="116" spans="1:20" x14ac:dyDescent="0.2">
      <c r="A116">
        <v>106</v>
      </c>
      <c r="B116" t="s">
        <v>145</v>
      </c>
      <c r="C116">
        <v>2.0741446699999999</v>
      </c>
      <c r="D116">
        <v>0.68961817999999997</v>
      </c>
      <c r="E116">
        <v>1.94819674</v>
      </c>
      <c r="F116">
        <v>3.3028379999999999</v>
      </c>
      <c r="H116">
        <v>106</v>
      </c>
      <c r="I116" t="s">
        <v>145</v>
      </c>
      <c r="J116">
        <v>-0.42741055999999999</v>
      </c>
      <c r="K116">
        <v>2.2515470299999998</v>
      </c>
      <c r="L116">
        <v>1.309128928</v>
      </c>
      <c r="M116">
        <v>2.6248040100000001</v>
      </c>
      <c r="O116">
        <v>106</v>
      </c>
      <c r="P116" t="s">
        <v>134</v>
      </c>
      <c r="Q116">
        <v>1.0992401869999999</v>
      </c>
      <c r="R116">
        <v>-0.73524368600000001</v>
      </c>
      <c r="S116">
        <v>0.28668859009999997</v>
      </c>
      <c r="T116">
        <v>23.2389641</v>
      </c>
    </row>
    <row r="117" spans="1:20" x14ac:dyDescent="0.2">
      <c r="A117">
        <v>107</v>
      </c>
      <c r="B117" t="s">
        <v>106</v>
      </c>
      <c r="C117">
        <v>0.10235896999999999</v>
      </c>
      <c r="D117">
        <v>2.4378152900000001</v>
      </c>
      <c r="E117">
        <v>1.9131143799999999</v>
      </c>
      <c r="F117">
        <v>18.092891959999999</v>
      </c>
      <c r="H117">
        <v>107</v>
      </c>
      <c r="I117" t="s">
        <v>107</v>
      </c>
      <c r="J117">
        <v>-2.4335863</v>
      </c>
      <c r="K117">
        <v>3.9153028700000001</v>
      </c>
      <c r="L117">
        <v>1.289072097</v>
      </c>
      <c r="M117">
        <v>11.20113177</v>
      </c>
      <c r="O117">
        <v>107</v>
      </c>
      <c r="P117" t="s">
        <v>140</v>
      </c>
      <c r="Q117">
        <v>2.0599209E-2</v>
      </c>
      <c r="R117">
        <v>0.37863650900000001</v>
      </c>
      <c r="S117">
        <v>0.28244304059999997</v>
      </c>
      <c r="T117">
        <v>21.658026320000001</v>
      </c>
    </row>
    <row r="118" spans="1:20" x14ac:dyDescent="0.2">
      <c r="A118">
        <v>108</v>
      </c>
      <c r="B118" t="s">
        <v>59</v>
      </c>
      <c r="C118">
        <v>1.4753029900000001</v>
      </c>
      <c r="D118">
        <v>1.0609583600000001</v>
      </c>
      <c r="E118">
        <v>1.84948804</v>
      </c>
      <c r="F118">
        <v>3.4143130199999998</v>
      </c>
      <c r="H118">
        <v>108</v>
      </c>
      <c r="I118" t="s">
        <v>124</v>
      </c>
      <c r="J118">
        <v>3.4930629299999998</v>
      </c>
      <c r="K118">
        <v>-1.8346854500000001</v>
      </c>
      <c r="L118">
        <v>1.2258247149999999</v>
      </c>
      <c r="M118">
        <v>28.314399909999999</v>
      </c>
      <c r="O118">
        <v>108</v>
      </c>
      <c r="P118" t="s">
        <v>104</v>
      </c>
      <c r="Q118">
        <v>1.3759745990000001</v>
      </c>
      <c r="R118">
        <v>-1.12216582</v>
      </c>
      <c r="S118">
        <v>0.22208510379999999</v>
      </c>
      <c r="T118">
        <v>23.364372169999999</v>
      </c>
    </row>
    <row r="119" spans="1:20" x14ac:dyDescent="0.2">
      <c r="A119">
        <v>109</v>
      </c>
      <c r="B119" t="s">
        <v>55</v>
      </c>
      <c r="C119">
        <v>1.23335704</v>
      </c>
      <c r="D119">
        <v>1.33253153</v>
      </c>
      <c r="E119">
        <v>1.77128017</v>
      </c>
      <c r="F119">
        <v>2.22875771</v>
      </c>
      <c r="H119">
        <v>109</v>
      </c>
      <c r="I119" t="s">
        <v>96</v>
      </c>
      <c r="J119">
        <v>1.4169406</v>
      </c>
      <c r="K119">
        <v>1.383705E-2</v>
      </c>
      <c r="L119">
        <v>1.0068899410000001</v>
      </c>
      <c r="M119">
        <v>0.33602117999999997</v>
      </c>
      <c r="O119">
        <v>109</v>
      </c>
      <c r="P119" t="s">
        <v>116</v>
      </c>
      <c r="Q119">
        <v>1.2318683029999999</v>
      </c>
      <c r="R119">
        <v>-0.91654917499999999</v>
      </c>
      <c r="S119">
        <v>0.20968317850000001</v>
      </c>
      <c r="T119">
        <v>27.653009440000002</v>
      </c>
    </row>
    <row r="120" spans="1:20" x14ac:dyDescent="0.2">
      <c r="A120">
        <v>110</v>
      </c>
      <c r="B120" t="s">
        <v>141</v>
      </c>
      <c r="C120">
        <v>2.0599675799999999</v>
      </c>
      <c r="D120">
        <v>0.14059814000000001</v>
      </c>
      <c r="E120">
        <v>1.64925023</v>
      </c>
      <c r="F120">
        <v>15.249147219999999</v>
      </c>
      <c r="H120">
        <v>110</v>
      </c>
      <c r="I120" t="s">
        <v>150</v>
      </c>
      <c r="J120">
        <v>1.0010015000000001</v>
      </c>
      <c r="K120">
        <v>0</v>
      </c>
      <c r="L120">
        <v>1.0010015029999999</v>
      </c>
      <c r="M120">
        <v>4.4543909999999999E-2</v>
      </c>
      <c r="O120">
        <v>110</v>
      </c>
      <c r="P120" t="s">
        <v>93</v>
      </c>
      <c r="Q120">
        <v>-0.305456381</v>
      </c>
      <c r="R120">
        <v>0.33704412900000003</v>
      </c>
      <c r="S120">
        <v>4.0723232499999998E-2</v>
      </c>
      <c r="T120">
        <v>25.544531670000001</v>
      </c>
    </row>
    <row r="121" spans="1:20" x14ac:dyDescent="0.2">
      <c r="A121">
        <v>111</v>
      </c>
      <c r="B121" t="s">
        <v>147</v>
      </c>
      <c r="C121">
        <v>1.9709804099999999</v>
      </c>
      <c r="D121">
        <v>0.19903731999999999</v>
      </c>
      <c r="E121">
        <v>1.4573362700000001</v>
      </c>
      <c r="F121">
        <v>27.08360571</v>
      </c>
      <c r="H121">
        <v>111</v>
      </c>
      <c r="I121" t="s">
        <v>144</v>
      </c>
      <c r="J121">
        <v>0.61434736999999995</v>
      </c>
      <c r="K121">
        <v>0.69623137999999996</v>
      </c>
      <c r="L121">
        <v>0.94133808399999996</v>
      </c>
      <c r="M121">
        <v>30.246604120000001</v>
      </c>
      <c r="O121">
        <v>111</v>
      </c>
      <c r="P121" t="s">
        <v>122</v>
      </c>
      <c r="Q121">
        <v>0.19318286600000001</v>
      </c>
      <c r="R121">
        <v>-0.20314717299999999</v>
      </c>
      <c r="S121">
        <v>3.4194150000000002E-4</v>
      </c>
      <c r="T121">
        <v>24.510338239999999</v>
      </c>
    </row>
    <row r="122" spans="1:20" x14ac:dyDescent="0.2">
      <c r="A122">
        <v>112</v>
      </c>
      <c r="B122" t="s">
        <v>60</v>
      </c>
      <c r="C122">
        <v>1.56961708</v>
      </c>
      <c r="D122">
        <v>0.25820804000000003</v>
      </c>
      <c r="E122">
        <v>1.2627389600000001</v>
      </c>
      <c r="F122">
        <v>1.22768352</v>
      </c>
      <c r="H122">
        <v>112</v>
      </c>
      <c r="I122" t="s">
        <v>138</v>
      </c>
      <c r="J122">
        <v>-0.96577259999999998</v>
      </c>
      <c r="K122">
        <v>2.2822575999999999</v>
      </c>
      <c r="L122">
        <v>0.92407469600000003</v>
      </c>
      <c r="M122">
        <v>3.5294313100000001</v>
      </c>
      <c r="O122">
        <v>112</v>
      </c>
      <c r="P122" t="s">
        <v>63</v>
      </c>
      <c r="Q122">
        <v>0</v>
      </c>
      <c r="R122">
        <v>0</v>
      </c>
      <c r="S122">
        <v>0</v>
      </c>
      <c r="T122">
        <v>2.720007E-2</v>
      </c>
    </row>
    <row r="123" spans="1:20" x14ac:dyDescent="0.2">
      <c r="A123">
        <v>113</v>
      </c>
      <c r="B123" t="s">
        <v>135</v>
      </c>
      <c r="C123">
        <v>0.74758559999999996</v>
      </c>
      <c r="D123">
        <v>0.97169614000000004</v>
      </c>
      <c r="E123">
        <v>1.1948306500000001</v>
      </c>
      <c r="F123">
        <v>28.483233769999998</v>
      </c>
      <c r="H123">
        <v>113</v>
      </c>
      <c r="I123" t="s">
        <v>147</v>
      </c>
      <c r="J123">
        <v>0.32695711999999999</v>
      </c>
      <c r="K123">
        <v>0.74227794000000002</v>
      </c>
      <c r="L123">
        <v>0.79720800999999997</v>
      </c>
      <c r="M123">
        <v>28.749163320000001</v>
      </c>
      <c r="O123">
        <v>113</v>
      </c>
      <c r="P123" t="s">
        <v>149</v>
      </c>
      <c r="Q123">
        <v>0</v>
      </c>
      <c r="R123">
        <v>0</v>
      </c>
      <c r="S123">
        <v>0</v>
      </c>
      <c r="T123">
        <v>0.15119492000000001</v>
      </c>
    </row>
    <row r="124" spans="1:20" x14ac:dyDescent="0.2">
      <c r="A124">
        <v>114</v>
      </c>
      <c r="B124" t="s">
        <v>153</v>
      </c>
      <c r="C124">
        <v>0.34037852000000002</v>
      </c>
      <c r="D124">
        <v>1.2476936000000001</v>
      </c>
      <c r="E124">
        <v>1.1217716600000001</v>
      </c>
      <c r="F124">
        <v>6.0056525599999997</v>
      </c>
      <c r="H124">
        <v>114</v>
      </c>
      <c r="I124" t="s">
        <v>153</v>
      </c>
      <c r="J124">
        <v>-0.38920911000000002</v>
      </c>
      <c r="K124">
        <v>1.2865932200000001</v>
      </c>
      <c r="L124">
        <v>0.53285378000000005</v>
      </c>
      <c r="M124">
        <v>7.6937085700000001</v>
      </c>
      <c r="O124">
        <v>114</v>
      </c>
      <c r="P124" t="s">
        <v>145</v>
      </c>
      <c r="Q124">
        <v>0.102364417</v>
      </c>
      <c r="R124">
        <v>-0.16156879399999999</v>
      </c>
      <c r="S124">
        <v>-2.81266194E-2</v>
      </c>
      <c r="T124">
        <v>5.4717714300000004</v>
      </c>
    </row>
    <row r="125" spans="1:20" x14ac:dyDescent="0.2">
      <c r="A125">
        <v>115</v>
      </c>
      <c r="B125" t="s">
        <v>150</v>
      </c>
      <c r="C125">
        <v>0.62081417000000005</v>
      </c>
      <c r="D125">
        <v>1.0010015000000001</v>
      </c>
      <c r="E125">
        <v>0.90738890999999999</v>
      </c>
      <c r="F125">
        <v>0.21234158</v>
      </c>
      <c r="H125">
        <v>115</v>
      </c>
      <c r="I125" t="s">
        <v>148</v>
      </c>
      <c r="J125">
        <v>-1.7629780000000001E-2</v>
      </c>
      <c r="K125">
        <v>0.57670748000000005</v>
      </c>
      <c r="L125">
        <v>0.39274927100000001</v>
      </c>
      <c r="M125">
        <v>28.418143109999999</v>
      </c>
      <c r="O125">
        <v>115</v>
      </c>
      <c r="P125" t="s">
        <v>167</v>
      </c>
      <c r="Q125">
        <v>1.2726617259999999</v>
      </c>
      <c r="R125">
        <v>-1.5059855870000001</v>
      </c>
      <c r="S125">
        <v>-0.1003078305</v>
      </c>
      <c r="T125">
        <v>25.839389990000001</v>
      </c>
    </row>
    <row r="126" spans="1:20" x14ac:dyDescent="0.2">
      <c r="A126">
        <v>116</v>
      </c>
      <c r="B126" t="s">
        <v>151</v>
      </c>
      <c r="C126">
        <v>-1.2599133499999999</v>
      </c>
      <c r="D126">
        <v>1.73088139</v>
      </c>
      <c r="E126">
        <v>0.25702575</v>
      </c>
      <c r="F126">
        <v>1.68890411</v>
      </c>
      <c r="H126">
        <v>116</v>
      </c>
      <c r="I126" t="s">
        <v>61</v>
      </c>
      <c r="J126">
        <v>0</v>
      </c>
      <c r="K126">
        <v>0</v>
      </c>
      <c r="L126">
        <v>0</v>
      </c>
      <c r="M126">
        <v>0</v>
      </c>
      <c r="O126">
        <v>116</v>
      </c>
      <c r="P126" t="s">
        <v>43</v>
      </c>
      <c r="Q126">
        <v>-0.79651355000000001</v>
      </c>
      <c r="R126">
        <v>0.63120934299999998</v>
      </c>
      <c r="S126">
        <v>-0.17565605079999999</v>
      </c>
      <c r="T126">
        <v>4.00826175</v>
      </c>
    </row>
    <row r="127" spans="1:20" x14ac:dyDescent="0.2">
      <c r="A127">
        <v>117</v>
      </c>
      <c r="B127" t="s">
        <v>57</v>
      </c>
      <c r="C127">
        <v>0.46808740999999998</v>
      </c>
      <c r="D127">
        <v>-1.0010015000000001</v>
      </c>
      <c r="E127">
        <v>6.4543100000000004E-3</v>
      </c>
      <c r="F127">
        <v>0.19938402999999999</v>
      </c>
      <c r="H127">
        <v>117</v>
      </c>
      <c r="I127" t="s">
        <v>63</v>
      </c>
      <c r="J127">
        <v>0</v>
      </c>
      <c r="K127">
        <v>0</v>
      </c>
      <c r="L127">
        <v>0</v>
      </c>
      <c r="M127">
        <v>0</v>
      </c>
      <c r="O127">
        <v>117</v>
      </c>
      <c r="P127" t="s">
        <v>100</v>
      </c>
      <c r="Q127">
        <v>-0.241894522</v>
      </c>
      <c r="R127">
        <v>-4.3047821E-2</v>
      </c>
      <c r="S127">
        <v>-0.2232443274</v>
      </c>
      <c r="T127">
        <v>7.0683699200000003</v>
      </c>
    </row>
    <row r="128" spans="1:20" x14ac:dyDescent="0.2">
      <c r="A128">
        <v>118</v>
      </c>
      <c r="B128" t="s">
        <v>63</v>
      </c>
      <c r="C128">
        <v>0</v>
      </c>
      <c r="D128">
        <v>0</v>
      </c>
      <c r="E128">
        <v>0</v>
      </c>
      <c r="F128">
        <v>3.8128570000000001E-2</v>
      </c>
      <c r="H128">
        <v>118</v>
      </c>
      <c r="I128" t="s">
        <v>149</v>
      </c>
      <c r="J128">
        <v>0</v>
      </c>
      <c r="K128">
        <v>0</v>
      </c>
      <c r="L128">
        <v>0</v>
      </c>
      <c r="M128">
        <v>0</v>
      </c>
      <c r="O128">
        <v>118</v>
      </c>
      <c r="P128" t="s">
        <v>144</v>
      </c>
      <c r="Q128">
        <v>-0.65523029799999999</v>
      </c>
      <c r="R128">
        <v>-0.57773595600000005</v>
      </c>
      <c r="S128">
        <v>-0.85302522300000005</v>
      </c>
      <c r="T128">
        <v>25.92730491</v>
      </c>
    </row>
    <row r="129" spans="1:20" x14ac:dyDescent="0.2">
      <c r="A129">
        <v>119</v>
      </c>
      <c r="B129" t="s">
        <v>149</v>
      </c>
      <c r="C129">
        <v>0</v>
      </c>
      <c r="D129">
        <v>0</v>
      </c>
      <c r="E129">
        <v>0</v>
      </c>
      <c r="F129">
        <v>3.2597290000000001E-2</v>
      </c>
      <c r="H129">
        <v>119</v>
      </c>
      <c r="I129" t="s">
        <v>151</v>
      </c>
      <c r="J129">
        <v>2.324323E-2</v>
      </c>
      <c r="K129">
        <v>1.107291E-2</v>
      </c>
      <c r="L129">
        <v>-2.9437930000000001E-3</v>
      </c>
      <c r="M129">
        <v>1.0968204100000001</v>
      </c>
      <c r="O129">
        <v>119</v>
      </c>
      <c r="P129" t="s">
        <v>133</v>
      </c>
      <c r="Q129">
        <v>-1.642662026</v>
      </c>
      <c r="R129">
        <v>0.45725897300000001</v>
      </c>
      <c r="S129">
        <v>-0.92149157010000005</v>
      </c>
      <c r="T129">
        <v>25.229046919999998</v>
      </c>
    </row>
    <row r="130" spans="1:20" x14ac:dyDescent="0.2">
      <c r="A130">
        <v>120</v>
      </c>
      <c r="B130" t="s">
        <v>61</v>
      </c>
      <c r="C130">
        <v>1.0010015000000001</v>
      </c>
      <c r="D130">
        <v>-1.0010015000000001</v>
      </c>
      <c r="E130">
        <v>-0.44755636999999998</v>
      </c>
      <c r="F130">
        <v>8.0088000000000006E-2</v>
      </c>
      <c r="H130">
        <v>120</v>
      </c>
      <c r="I130" t="s">
        <v>133</v>
      </c>
      <c r="J130">
        <v>-3.6452110000000003E-2</v>
      </c>
      <c r="K130">
        <v>3.3395800000000003E-2</v>
      </c>
      <c r="L130">
        <v>-8.586738E-3</v>
      </c>
      <c r="M130">
        <v>29.743631619999999</v>
      </c>
      <c r="O130">
        <v>120</v>
      </c>
      <c r="P130" t="s">
        <v>132</v>
      </c>
      <c r="Q130">
        <v>-0.46031207899999999</v>
      </c>
      <c r="R130">
        <v>-1.060300107</v>
      </c>
      <c r="S130">
        <v>-1.0601442565999999</v>
      </c>
      <c r="T130">
        <v>6.9403241900000001</v>
      </c>
    </row>
    <row r="131" spans="1:20" x14ac:dyDescent="0.2">
      <c r="A131">
        <v>121</v>
      </c>
      <c r="B131" t="s">
        <v>152</v>
      </c>
      <c r="C131">
        <v>-0.82266441000000001</v>
      </c>
      <c r="D131">
        <v>-0.57452292000000005</v>
      </c>
      <c r="E131">
        <v>-0.95925442999999999</v>
      </c>
      <c r="F131">
        <v>0.38566117</v>
      </c>
      <c r="H131">
        <v>121</v>
      </c>
      <c r="I131" t="s">
        <v>60</v>
      </c>
      <c r="J131">
        <v>-1.7045988599999999</v>
      </c>
      <c r="K131">
        <v>0.80118920999999999</v>
      </c>
      <c r="L131">
        <v>-0.56649216899999999</v>
      </c>
      <c r="M131">
        <v>0.66101933999999996</v>
      </c>
      <c r="O131">
        <v>121</v>
      </c>
      <c r="P131" t="s">
        <v>137</v>
      </c>
      <c r="Q131">
        <v>-1.0795200140000001</v>
      </c>
      <c r="R131">
        <v>-0.48094229300000002</v>
      </c>
      <c r="S131">
        <v>-1.0681378212999999</v>
      </c>
      <c r="T131">
        <v>24.664351719999999</v>
      </c>
    </row>
    <row r="132" spans="1:20" x14ac:dyDescent="0.2">
      <c r="A132">
        <v>122</v>
      </c>
      <c r="B132" t="s">
        <v>148</v>
      </c>
      <c r="C132">
        <v>-0.67799226999999995</v>
      </c>
      <c r="D132">
        <v>-0.80629141999999998</v>
      </c>
      <c r="E132">
        <v>-1.0846171099999999</v>
      </c>
      <c r="F132">
        <v>28.2999191</v>
      </c>
      <c r="H132">
        <v>122</v>
      </c>
      <c r="I132" t="s">
        <v>49</v>
      </c>
      <c r="J132">
        <v>-1.0010015000000001</v>
      </c>
      <c r="K132">
        <v>-1.4165301400000001</v>
      </c>
      <c r="L132">
        <v>-1.7372259969999999</v>
      </c>
      <c r="M132">
        <v>0.22182236999999999</v>
      </c>
      <c r="O132">
        <v>122</v>
      </c>
      <c r="P132" t="s">
        <v>152</v>
      </c>
      <c r="Q132">
        <v>-0.56368064699999998</v>
      </c>
      <c r="R132">
        <v>-2.2978107759999999</v>
      </c>
      <c r="S132">
        <v>-1.8820854314</v>
      </c>
      <c r="T132">
        <v>1.0250949300000001</v>
      </c>
    </row>
    <row r="133" spans="1:20" x14ac:dyDescent="0.2">
      <c r="A133" t="s">
        <v>210</v>
      </c>
      <c r="H133" t="s">
        <v>210</v>
      </c>
      <c r="O13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0F8-A51A-8F4C-8CA7-1A27983DA80A}">
  <dimension ref="A1:AB69"/>
  <sheetViews>
    <sheetView topLeftCell="A25" workbookViewId="0">
      <selection activeCell="J47" sqref="J47"/>
    </sheetView>
  </sheetViews>
  <sheetFormatPr baseColWidth="10" defaultRowHeight="16" x14ac:dyDescent="0.2"/>
  <sheetData>
    <row r="1" spans="1:28" s="10" customFormat="1" x14ac:dyDescent="0.2">
      <c r="A1" s="9" t="s">
        <v>82</v>
      </c>
    </row>
    <row r="2" spans="1:28" x14ac:dyDescent="0.2">
      <c r="A2" s="3" t="s">
        <v>83</v>
      </c>
      <c r="I2" s="3" t="s">
        <v>84</v>
      </c>
      <c r="Q2" s="3" t="s">
        <v>85</v>
      </c>
    </row>
    <row r="3" spans="1:28" x14ac:dyDescent="0.2">
      <c r="A3" s="18" t="s">
        <v>175</v>
      </c>
      <c r="I3" s="18" t="s">
        <v>175</v>
      </c>
      <c r="J3" t="s">
        <v>177</v>
      </c>
      <c r="O3" t="s">
        <v>178</v>
      </c>
      <c r="Q3" s="18" t="s">
        <v>175</v>
      </c>
    </row>
    <row r="4" spans="1:28" x14ac:dyDescent="0.2">
      <c r="A4" s="18" t="s">
        <v>75</v>
      </c>
      <c r="B4" s="4">
        <v>0.74870000000000003</v>
      </c>
      <c r="I4" s="18" t="s">
        <v>75</v>
      </c>
      <c r="J4" s="4">
        <v>0.73450000000000004</v>
      </c>
      <c r="Q4" s="18" t="s">
        <v>75</v>
      </c>
      <c r="R4" s="4">
        <v>0.69720000000000004</v>
      </c>
      <c r="Z4" t="s">
        <v>64</v>
      </c>
      <c r="AA4" t="s">
        <v>84</v>
      </c>
      <c r="AB4" t="s">
        <v>85</v>
      </c>
    </row>
    <row r="5" spans="1:28" x14ac:dyDescent="0.2">
      <c r="A5" s="18" t="s">
        <v>211</v>
      </c>
      <c r="B5" s="4">
        <v>0.71760000000000002</v>
      </c>
      <c r="I5" s="18" t="s">
        <v>211</v>
      </c>
      <c r="J5" s="4">
        <v>0.70830000000000004</v>
      </c>
      <c r="Q5" s="18" t="s">
        <v>211</v>
      </c>
      <c r="R5" s="4">
        <v>0.69030000000000002</v>
      </c>
      <c r="Y5" t="s">
        <v>0</v>
      </c>
      <c r="Z5" s="12">
        <f>MATCH($Y5,B$9:B$22,0)</f>
        <v>1</v>
      </c>
      <c r="AA5" s="12">
        <f>MATCH($Y5,J$9:J$26,0)</f>
        <v>1</v>
      </c>
      <c r="AB5" s="12">
        <f>MATCH($Y5,R$8:R$23,0)</f>
        <v>4</v>
      </c>
    </row>
    <row r="6" spans="1:28" x14ac:dyDescent="0.2">
      <c r="A6" s="3"/>
      <c r="I6" s="3"/>
      <c r="Q6" s="3"/>
      <c r="Y6" s="3" t="s">
        <v>90</v>
      </c>
      <c r="Z6" s="12">
        <f t="shared" ref="Z6:Z27" si="0">MATCH($Y6,B$9:B$22,0)</f>
        <v>3</v>
      </c>
      <c r="AA6" s="12">
        <f t="shared" ref="AA6:AA27" si="1">MATCH($Y6,J$9:J$26,0)</f>
        <v>5</v>
      </c>
      <c r="AB6" s="12">
        <f t="shared" ref="AB6:AB27" si="2">MATCH($Y6,R$8:R$23,0)</f>
        <v>11</v>
      </c>
    </row>
    <row r="7" spans="1:28" x14ac:dyDescent="0.2">
      <c r="A7" s="3" t="s">
        <v>65</v>
      </c>
      <c r="B7" s="3" t="s">
        <v>154</v>
      </c>
      <c r="C7" s="3" t="s">
        <v>155</v>
      </c>
      <c r="D7" s="3" t="s">
        <v>71</v>
      </c>
      <c r="E7" s="3" t="s">
        <v>72</v>
      </c>
      <c r="F7" s="3" t="s">
        <v>73</v>
      </c>
      <c r="G7" s="3" t="s">
        <v>74</v>
      </c>
      <c r="I7" s="3" t="s">
        <v>65</v>
      </c>
      <c r="J7" s="3" t="s">
        <v>154</v>
      </c>
      <c r="K7" s="3" t="s">
        <v>155</v>
      </c>
      <c r="L7" s="3" t="s">
        <v>71</v>
      </c>
      <c r="M7" s="3" t="s">
        <v>72</v>
      </c>
      <c r="N7" s="3" t="s">
        <v>73</v>
      </c>
      <c r="O7" s="3" t="s">
        <v>74</v>
      </c>
      <c r="Q7" s="3" t="s">
        <v>65</v>
      </c>
      <c r="R7" s="3" t="s">
        <v>154</v>
      </c>
      <c r="S7" s="3" t="s">
        <v>155</v>
      </c>
      <c r="T7" s="3" t="s">
        <v>71</v>
      </c>
      <c r="U7" s="3" t="s">
        <v>72</v>
      </c>
      <c r="V7" s="3" t="s">
        <v>73</v>
      </c>
      <c r="W7" s="3" t="s">
        <v>74</v>
      </c>
      <c r="Y7" t="s">
        <v>2</v>
      </c>
      <c r="Z7" s="12">
        <f t="shared" si="0"/>
        <v>4</v>
      </c>
      <c r="AA7" s="12">
        <f t="shared" si="1"/>
        <v>6</v>
      </c>
      <c r="AB7" s="12">
        <f t="shared" si="2"/>
        <v>3</v>
      </c>
    </row>
    <row r="8" spans="1:28" x14ac:dyDescent="0.2">
      <c r="Y8" t="s">
        <v>1</v>
      </c>
      <c r="Z8" s="12">
        <f t="shared" si="0"/>
        <v>5</v>
      </c>
      <c r="AA8" s="12">
        <f t="shared" si="1"/>
        <v>8</v>
      </c>
      <c r="AB8" s="12">
        <f t="shared" si="2"/>
        <v>9</v>
      </c>
    </row>
    <row r="9" spans="1:28" x14ac:dyDescent="0.2">
      <c r="A9">
        <v>1</v>
      </c>
      <c r="B9" t="s">
        <v>0</v>
      </c>
      <c r="C9">
        <v>-0.86459741999999995</v>
      </c>
      <c r="D9">
        <v>0.95</v>
      </c>
      <c r="E9">
        <v>-0.93085214999999999</v>
      </c>
      <c r="F9">
        <v>-0.79925466000000001</v>
      </c>
      <c r="G9">
        <v>0.86459741999999995</v>
      </c>
      <c r="I9">
        <v>1</v>
      </c>
      <c r="J9" t="s">
        <v>0</v>
      </c>
      <c r="K9">
        <v>-0.64462125400000003</v>
      </c>
      <c r="L9">
        <v>0.95</v>
      </c>
      <c r="M9">
        <v>-0.70321544999999996</v>
      </c>
      <c r="N9">
        <v>-0.58655690000000005</v>
      </c>
      <c r="O9">
        <v>0.64462125400000003</v>
      </c>
      <c r="Q9">
        <v>1</v>
      </c>
      <c r="R9" t="s">
        <v>79</v>
      </c>
      <c r="S9">
        <v>1.1438880499999999</v>
      </c>
      <c r="T9">
        <v>0.95</v>
      </c>
      <c r="U9">
        <v>1.0941512309999999</v>
      </c>
      <c r="V9">
        <v>1.19420674</v>
      </c>
      <c r="W9">
        <v>1.1438880499999999</v>
      </c>
      <c r="Y9" t="s">
        <v>4</v>
      </c>
      <c r="Z9" s="12">
        <f t="shared" si="0"/>
        <v>6</v>
      </c>
      <c r="AA9" s="12">
        <f t="shared" si="1"/>
        <v>12</v>
      </c>
      <c r="AB9" s="12">
        <f t="shared" si="2"/>
        <v>5</v>
      </c>
    </row>
    <row r="10" spans="1:28" x14ac:dyDescent="0.2">
      <c r="A10">
        <v>2</v>
      </c>
      <c r="B10" t="s">
        <v>79</v>
      </c>
      <c r="C10">
        <v>0.86162556999999995</v>
      </c>
      <c r="D10">
        <v>0.95</v>
      </c>
      <c r="E10">
        <v>0.81338138999999998</v>
      </c>
      <c r="F10">
        <v>0.91028555</v>
      </c>
      <c r="G10">
        <v>0.86162556999999995</v>
      </c>
      <c r="I10">
        <v>2</v>
      </c>
      <c r="J10" t="s">
        <v>79</v>
      </c>
      <c r="K10">
        <v>0.42994987200000001</v>
      </c>
      <c r="L10">
        <v>0.95</v>
      </c>
      <c r="M10">
        <v>0.38544611000000001</v>
      </c>
      <c r="N10">
        <v>0.47463019000000001</v>
      </c>
      <c r="O10">
        <v>0.42994987200000001</v>
      </c>
      <c r="Q10">
        <v>2</v>
      </c>
      <c r="R10" t="s">
        <v>2</v>
      </c>
      <c r="S10">
        <v>0.37481998999999999</v>
      </c>
      <c r="T10">
        <v>0.95</v>
      </c>
      <c r="U10">
        <v>0.30412309799999998</v>
      </c>
      <c r="V10">
        <v>0.44710058000000003</v>
      </c>
      <c r="W10">
        <v>0.37481998999999999</v>
      </c>
      <c r="Y10" t="s">
        <v>3</v>
      </c>
      <c r="Z10" s="12">
        <f t="shared" si="0"/>
        <v>7</v>
      </c>
      <c r="AA10" s="12">
        <f t="shared" si="1"/>
        <v>13</v>
      </c>
      <c r="AB10" s="12">
        <f t="shared" si="2"/>
        <v>7</v>
      </c>
    </row>
    <row r="11" spans="1:28" x14ac:dyDescent="0.2">
      <c r="A11">
        <v>3</v>
      </c>
      <c r="B11" t="s">
        <v>90</v>
      </c>
      <c r="C11">
        <v>0.52873015000000001</v>
      </c>
      <c r="D11">
        <v>0.95</v>
      </c>
      <c r="E11">
        <v>0.46978414000000002</v>
      </c>
      <c r="F11">
        <v>0.58826608000000002</v>
      </c>
      <c r="G11">
        <v>0.52873015000000001</v>
      </c>
      <c r="I11">
        <v>3</v>
      </c>
      <c r="J11" t="s">
        <v>13</v>
      </c>
      <c r="K11">
        <v>0.38164268000000001</v>
      </c>
      <c r="L11">
        <v>0.95</v>
      </c>
      <c r="M11">
        <v>0.21792945999999999</v>
      </c>
      <c r="N11">
        <v>0.54623157</v>
      </c>
      <c r="O11">
        <v>0.38164268000000001</v>
      </c>
      <c r="Q11">
        <v>3</v>
      </c>
      <c r="R11" t="s">
        <v>0</v>
      </c>
      <c r="S11">
        <v>-0.30407186000000003</v>
      </c>
      <c r="T11">
        <v>0.95</v>
      </c>
      <c r="U11">
        <v>-0.365904438</v>
      </c>
      <c r="V11">
        <v>-0.24219523000000001</v>
      </c>
      <c r="W11">
        <v>0.30407186000000003</v>
      </c>
      <c r="Y11" t="s">
        <v>16</v>
      </c>
      <c r="Z11" s="7">
        <f t="shared" si="0"/>
        <v>8</v>
      </c>
      <c r="AA11" s="7" t="e">
        <f t="shared" si="1"/>
        <v>#N/A</v>
      </c>
      <c r="AB11" s="7" t="e">
        <f t="shared" si="2"/>
        <v>#N/A</v>
      </c>
    </row>
    <row r="12" spans="1:28" x14ac:dyDescent="0.2">
      <c r="A12">
        <v>4</v>
      </c>
      <c r="B12" t="s">
        <v>2</v>
      </c>
      <c r="C12">
        <v>0.47673757999999999</v>
      </c>
      <c r="D12">
        <v>0.95</v>
      </c>
      <c r="E12">
        <v>0.40006560000000002</v>
      </c>
      <c r="F12">
        <v>0.55448198000000004</v>
      </c>
      <c r="G12">
        <v>0.47673757999999999</v>
      </c>
      <c r="I12">
        <v>4</v>
      </c>
      <c r="J12" t="s">
        <v>12</v>
      </c>
      <c r="K12">
        <v>0.35790678999999997</v>
      </c>
      <c r="L12">
        <v>0.95</v>
      </c>
      <c r="M12">
        <v>0.30825311999999999</v>
      </c>
      <c r="N12">
        <v>0.40794986999999999</v>
      </c>
      <c r="O12">
        <v>0.35790678999999997</v>
      </c>
      <c r="Q12">
        <v>4</v>
      </c>
      <c r="R12" t="s">
        <v>4</v>
      </c>
      <c r="S12">
        <v>-0.27906537999999997</v>
      </c>
      <c r="T12">
        <v>0.95</v>
      </c>
      <c r="U12">
        <v>-0.32842653500000002</v>
      </c>
      <c r="V12">
        <v>-0.22988027999999999</v>
      </c>
      <c r="W12">
        <v>0.27906537999999997</v>
      </c>
      <c r="Y12" t="s">
        <v>12</v>
      </c>
      <c r="Z12" s="7">
        <f t="shared" si="0"/>
        <v>9</v>
      </c>
      <c r="AA12" s="7">
        <f t="shared" si="1"/>
        <v>4</v>
      </c>
      <c r="AB12" s="7" t="e">
        <f t="shared" si="2"/>
        <v>#N/A</v>
      </c>
    </row>
    <row r="13" spans="1:28" x14ac:dyDescent="0.2">
      <c r="A13">
        <v>5</v>
      </c>
      <c r="B13" t="s">
        <v>1</v>
      </c>
      <c r="C13">
        <v>0.25602455000000002</v>
      </c>
      <c r="D13">
        <v>0.95</v>
      </c>
      <c r="E13">
        <v>0.20100451</v>
      </c>
      <c r="F13">
        <v>0.31144782999999998</v>
      </c>
      <c r="G13">
        <v>0.25602455000000002</v>
      </c>
      <c r="I13">
        <v>5</v>
      </c>
      <c r="J13" t="s">
        <v>90</v>
      </c>
      <c r="K13">
        <v>0.30849241100000002</v>
      </c>
      <c r="L13">
        <v>0.95</v>
      </c>
      <c r="M13">
        <v>0.25392401999999997</v>
      </c>
      <c r="N13">
        <v>0.36327208</v>
      </c>
      <c r="O13">
        <v>0.30849241100000002</v>
      </c>
      <c r="Q13">
        <v>5</v>
      </c>
      <c r="R13" t="s">
        <v>5</v>
      </c>
      <c r="S13">
        <v>0.26387260000000001</v>
      </c>
      <c r="T13">
        <v>0.95</v>
      </c>
      <c r="U13">
        <v>0.20016635199999999</v>
      </c>
      <c r="V13">
        <v>0.32865192999999998</v>
      </c>
      <c r="W13">
        <v>0.26387260000000001</v>
      </c>
      <c r="Y13" s="3" t="s">
        <v>91</v>
      </c>
      <c r="Z13" s="7">
        <f t="shared" si="0"/>
        <v>10</v>
      </c>
      <c r="AA13" s="7">
        <f t="shared" si="1"/>
        <v>18</v>
      </c>
      <c r="AB13" s="7" t="e">
        <f t="shared" si="2"/>
        <v>#N/A</v>
      </c>
    </row>
    <row r="14" spans="1:28" x14ac:dyDescent="0.2">
      <c r="A14">
        <v>6</v>
      </c>
      <c r="B14" t="s">
        <v>4</v>
      </c>
      <c r="C14">
        <v>-0.21291605</v>
      </c>
      <c r="D14">
        <v>0.95</v>
      </c>
      <c r="E14">
        <v>-0.26395558000000002</v>
      </c>
      <c r="F14">
        <v>-0.16200933000000001</v>
      </c>
      <c r="G14">
        <v>0.21291605</v>
      </c>
      <c r="I14">
        <v>6</v>
      </c>
      <c r="J14" t="s">
        <v>2</v>
      </c>
      <c r="K14">
        <v>0.27420112699999999</v>
      </c>
      <c r="L14">
        <v>0.95</v>
      </c>
      <c r="M14">
        <v>0.21851414</v>
      </c>
      <c r="N14">
        <v>0.33140808999999999</v>
      </c>
      <c r="O14">
        <v>0.27420112699999999</v>
      </c>
      <c r="Q14">
        <v>6</v>
      </c>
      <c r="R14" t="s">
        <v>3</v>
      </c>
      <c r="S14">
        <v>-0.17420443999999999</v>
      </c>
      <c r="T14">
        <v>0.95</v>
      </c>
      <c r="U14">
        <v>-0.22175094000000001</v>
      </c>
      <c r="V14">
        <v>-0.12663311999999999</v>
      </c>
      <c r="W14">
        <v>0.17420443999999999</v>
      </c>
      <c r="Y14" t="s">
        <v>92</v>
      </c>
      <c r="Z14" s="7">
        <f t="shared" si="0"/>
        <v>11</v>
      </c>
      <c r="AA14" s="7" t="e">
        <f t="shared" si="1"/>
        <v>#N/A</v>
      </c>
      <c r="AB14" s="7" t="e">
        <f t="shared" si="2"/>
        <v>#N/A</v>
      </c>
    </row>
    <row r="15" spans="1:28" x14ac:dyDescent="0.2">
      <c r="A15">
        <v>7</v>
      </c>
      <c r="B15" t="s">
        <v>3</v>
      </c>
      <c r="C15">
        <v>-0.20850737999999999</v>
      </c>
      <c r="D15">
        <v>0.95</v>
      </c>
      <c r="E15">
        <v>-0.25738082000000001</v>
      </c>
      <c r="F15">
        <v>-0.15982814000000001</v>
      </c>
      <c r="G15">
        <v>0.20850737999999999</v>
      </c>
      <c r="I15">
        <v>7</v>
      </c>
      <c r="J15" t="s">
        <v>9</v>
      </c>
      <c r="K15">
        <v>-0.26314043399999998</v>
      </c>
      <c r="L15">
        <v>0.95</v>
      </c>
      <c r="M15">
        <v>-0.33044316000000001</v>
      </c>
      <c r="N15">
        <v>-0.19592692</v>
      </c>
      <c r="O15">
        <v>0.26314043399999998</v>
      </c>
      <c r="Q15">
        <v>7</v>
      </c>
      <c r="R15" t="s">
        <v>9</v>
      </c>
      <c r="S15">
        <v>-0.16802027</v>
      </c>
      <c r="T15">
        <v>0.95</v>
      </c>
      <c r="U15">
        <v>-0.234647776</v>
      </c>
      <c r="V15">
        <v>-0.10115285</v>
      </c>
      <c r="W15">
        <v>0.16802027</v>
      </c>
      <c r="Y15" s="18" t="s">
        <v>7</v>
      </c>
      <c r="Z15" s="7">
        <f t="shared" si="0"/>
        <v>12</v>
      </c>
      <c r="AA15" s="7">
        <f t="shared" si="1"/>
        <v>11</v>
      </c>
      <c r="AB15" s="7" t="e">
        <f t="shared" si="2"/>
        <v>#N/A</v>
      </c>
    </row>
    <row r="16" spans="1:28" x14ac:dyDescent="0.2">
      <c r="A16">
        <v>8</v>
      </c>
      <c r="B16" t="s">
        <v>16</v>
      </c>
      <c r="C16">
        <v>-0.20085621000000001</v>
      </c>
      <c r="D16">
        <v>0.95</v>
      </c>
      <c r="E16">
        <v>-0.27490209999999998</v>
      </c>
      <c r="F16">
        <v>-0.12696084999999999</v>
      </c>
      <c r="G16">
        <v>0.20085621000000001</v>
      </c>
      <c r="I16">
        <v>8</v>
      </c>
      <c r="J16" t="s">
        <v>1</v>
      </c>
      <c r="K16">
        <v>0.245168626</v>
      </c>
      <c r="L16">
        <v>0.95</v>
      </c>
      <c r="M16">
        <v>0.18654390000000001</v>
      </c>
      <c r="N16">
        <v>0.3042569</v>
      </c>
      <c r="O16">
        <v>0.245168626</v>
      </c>
      <c r="Q16">
        <v>8</v>
      </c>
      <c r="R16" t="s">
        <v>1</v>
      </c>
      <c r="S16">
        <v>0.16759574999999999</v>
      </c>
      <c r="T16">
        <v>0.95</v>
      </c>
      <c r="U16">
        <v>0.101394278</v>
      </c>
      <c r="V16">
        <v>0.23407471999999999</v>
      </c>
      <c r="W16">
        <v>0.16759574999999999</v>
      </c>
      <c r="Y16" t="s">
        <v>26</v>
      </c>
      <c r="Z16" s="7">
        <f t="shared" si="0"/>
        <v>13</v>
      </c>
      <c r="AA16" s="7" t="e">
        <f t="shared" si="1"/>
        <v>#N/A</v>
      </c>
      <c r="AB16" s="7" t="e">
        <f t="shared" si="2"/>
        <v>#N/A</v>
      </c>
    </row>
    <row r="17" spans="1:28" x14ac:dyDescent="0.2">
      <c r="A17">
        <v>9</v>
      </c>
      <c r="B17" t="s">
        <v>12</v>
      </c>
      <c r="C17">
        <v>0.17383535</v>
      </c>
      <c r="D17">
        <v>0.95</v>
      </c>
      <c r="E17">
        <v>0.12384861</v>
      </c>
      <c r="F17">
        <v>0.22415189999999999</v>
      </c>
      <c r="G17">
        <v>0.17383535</v>
      </c>
      <c r="I17">
        <v>9</v>
      </c>
      <c r="J17" t="s">
        <v>8</v>
      </c>
      <c r="K17">
        <v>-0.234406006</v>
      </c>
      <c r="L17">
        <v>0.95</v>
      </c>
      <c r="M17">
        <v>-0.37586398999999998</v>
      </c>
      <c r="N17">
        <v>-9.3811130000000006E-2</v>
      </c>
      <c r="O17">
        <v>0.234406006</v>
      </c>
      <c r="Q17">
        <v>9</v>
      </c>
      <c r="R17" t="s">
        <v>34</v>
      </c>
      <c r="S17">
        <v>0.16753575000000001</v>
      </c>
      <c r="T17">
        <v>0.95</v>
      </c>
      <c r="U17">
        <v>0.110815224</v>
      </c>
      <c r="V17">
        <v>0.22494778000000001</v>
      </c>
      <c r="W17">
        <v>0.16753575000000001</v>
      </c>
      <c r="Y17" t="s">
        <v>11</v>
      </c>
      <c r="Z17" s="7">
        <f t="shared" si="0"/>
        <v>14</v>
      </c>
      <c r="AA17" s="7" t="e">
        <f t="shared" si="1"/>
        <v>#N/A</v>
      </c>
      <c r="AB17" s="7" t="e">
        <f t="shared" si="2"/>
        <v>#N/A</v>
      </c>
    </row>
    <row r="18" spans="1:28" x14ac:dyDescent="0.2">
      <c r="A18">
        <v>10</v>
      </c>
      <c r="B18" t="s">
        <v>91</v>
      </c>
      <c r="C18">
        <v>-0.17280825</v>
      </c>
      <c r="D18">
        <v>0.95</v>
      </c>
      <c r="E18">
        <v>-0.23259525</v>
      </c>
      <c r="F18">
        <v>-0.11409486000000001</v>
      </c>
      <c r="G18">
        <v>0.17280825</v>
      </c>
      <c r="I18">
        <v>10</v>
      </c>
      <c r="J18" t="s">
        <v>5</v>
      </c>
      <c r="K18">
        <v>0.207648532</v>
      </c>
      <c r="L18">
        <v>0.95</v>
      </c>
      <c r="M18">
        <v>0.15259768000000001</v>
      </c>
      <c r="N18">
        <v>0.26329395</v>
      </c>
      <c r="O18">
        <v>0.207648532</v>
      </c>
      <c r="Q18">
        <v>10</v>
      </c>
      <c r="R18" t="s">
        <v>90</v>
      </c>
      <c r="S18">
        <v>0.1435797</v>
      </c>
      <c r="T18">
        <v>0.95</v>
      </c>
      <c r="U18">
        <v>8.4681942999999996E-2</v>
      </c>
      <c r="V18">
        <v>0.20212975999999999</v>
      </c>
      <c r="W18">
        <v>0.1435797</v>
      </c>
      <c r="Y18" t="s">
        <v>13</v>
      </c>
      <c r="Z18" s="7" t="e">
        <f t="shared" si="0"/>
        <v>#N/A</v>
      </c>
      <c r="AA18" s="7">
        <f t="shared" si="1"/>
        <v>3</v>
      </c>
      <c r="AB18" s="7">
        <f t="shared" si="2"/>
        <v>16</v>
      </c>
    </row>
    <row r="19" spans="1:28" x14ac:dyDescent="0.2">
      <c r="A19">
        <v>11</v>
      </c>
      <c r="B19" t="s">
        <v>92</v>
      </c>
      <c r="C19">
        <v>-0.14361936</v>
      </c>
      <c r="D19">
        <v>0.95</v>
      </c>
      <c r="E19">
        <v>-0.19356056999999999</v>
      </c>
      <c r="F19">
        <v>-9.4187000000000007E-2</v>
      </c>
      <c r="G19">
        <v>0.14361936</v>
      </c>
      <c r="I19">
        <v>11</v>
      </c>
      <c r="J19" t="s">
        <v>7</v>
      </c>
      <c r="K19">
        <v>-0.20290377300000001</v>
      </c>
      <c r="L19">
        <v>0.95</v>
      </c>
      <c r="M19">
        <v>-0.26234320999999999</v>
      </c>
      <c r="N19">
        <v>-0.14357626000000001</v>
      </c>
      <c r="O19">
        <v>0.20290377300000001</v>
      </c>
      <c r="Q19">
        <v>11</v>
      </c>
      <c r="R19" t="s">
        <v>21</v>
      </c>
      <c r="S19">
        <v>0.14024858000000001</v>
      </c>
      <c r="T19">
        <v>0.95</v>
      </c>
      <c r="U19">
        <v>8.1423730999999999E-2</v>
      </c>
      <c r="V19">
        <v>0.19957963000000001</v>
      </c>
      <c r="W19">
        <v>0.14024858000000001</v>
      </c>
      <c r="Y19" t="s">
        <v>9</v>
      </c>
      <c r="Z19" s="7" t="e">
        <f t="shared" si="0"/>
        <v>#N/A</v>
      </c>
      <c r="AA19" s="7">
        <f t="shared" si="1"/>
        <v>7</v>
      </c>
      <c r="AB19" s="7">
        <f t="shared" si="2"/>
        <v>8</v>
      </c>
    </row>
    <row r="20" spans="1:28" x14ac:dyDescent="0.2">
      <c r="A20">
        <v>12</v>
      </c>
      <c r="B20" t="s">
        <v>7</v>
      </c>
      <c r="C20">
        <v>0.13832739999999999</v>
      </c>
      <c r="D20">
        <v>0.95</v>
      </c>
      <c r="E20">
        <v>7.2798119999999994E-2</v>
      </c>
      <c r="F20">
        <v>0.20410329999999999</v>
      </c>
      <c r="G20">
        <v>0.13832739999999999</v>
      </c>
      <c r="I20">
        <v>12</v>
      </c>
      <c r="J20" t="s">
        <v>4</v>
      </c>
      <c r="K20">
        <v>-0.15702028300000001</v>
      </c>
      <c r="L20">
        <v>0.95</v>
      </c>
      <c r="M20">
        <v>-0.20615132</v>
      </c>
      <c r="N20">
        <v>-0.10798399</v>
      </c>
      <c r="O20">
        <v>0.15702028300000001</v>
      </c>
      <c r="Q20">
        <v>12</v>
      </c>
      <c r="R20" t="s">
        <v>28</v>
      </c>
      <c r="S20">
        <v>0.12347326</v>
      </c>
      <c r="T20">
        <v>0.95</v>
      </c>
      <c r="U20">
        <v>6.8901403999999999E-2</v>
      </c>
      <c r="V20">
        <v>0.17871719</v>
      </c>
      <c r="W20">
        <v>0.12347326</v>
      </c>
      <c r="Y20" t="s">
        <v>8</v>
      </c>
      <c r="Z20" s="7" t="e">
        <f t="shared" si="0"/>
        <v>#N/A</v>
      </c>
      <c r="AA20" s="7">
        <f t="shared" si="1"/>
        <v>9</v>
      </c>
      <c r="AB20" s="7" t="e">
        <f t="shared" si="2"/>
        <v>#N/A</v>
      </c>
    </row>
    <row r="21" spans="1:28" x14ac:dyDescent="0.2">
      <c r="A21">
        <v>13</v>
      </c>
      <c r="B21" t="s">
        <v>26</v>
      </c>
      <c r="C21">
        <v>-9.3077110000000005E-2</v>
      </c>
      <c r="D21">
        <v>0.95</v>
      </c>
      <c r="E21">
        <v>-0.15262872</v>
      </c>
      <c r="F21">
        <v>-3.3565089999999999E-2</v>
      </c>
      <c r="G21">
        <v>9.3077110000000005E-2</v>
      </c>
      <c r="I21">
        <v>13</v>
      </c>
      <c r="J21" t="s">
        <v>3</v>
      </c>
      <c r="K21">
        <v>-0.15365180000000001</v>
      </c>
      <c r="L21">
        <v>0.95</v>
      </c>
      <c r="M21">
        <v>-0.20278196000000001</v>
      </c>
      <c r="N21">
        <v>-0.10490683000000001</v>
      </c>
      <c r="O21">
        <v>0.15365180000000001</v>
      </c>
      <c r="Q21">
        <v>13</v>
      </c>
      <c r="R21" t="s">
        <v>6</v>
      </c>
      <c r="S21">
        <v>-9.9552399999999999E-2</v>
      </c>
      <c r="T21">
        <v>0.95</v>
      </c>
      <c r="U21">
        <v>-0.16510355700000001</v>
      </c>
      <c r="V21">
        <v>-3.362975E-2</v>
      </c>
      <c r="W21">
        <v>9.9552399999999999E-2</v>
      </c>
      <c r="Y21" t="s">
        <v>5</v>
      </c>
      <c r="Z21" s="7" t="e">
        <f t="shared" si="0"/>
        <v>#N/A</v>
      </c>
      <c r="AA21" s="7">
        <f t="shared" si="1"/>
        <v>10</v>
      </c>
      <c r="AB21" s="7">
        <f t="shared" si="2"/>
        <v>6</v>
      </c>
    </row>
    <row r="22" spans="1:28" x14ac:dyDescent="0.2">
      <c r="A22">
        <v>14</v>
      </c>
      <c r="B22" t="s">
        <v>11</v>
      </c>
      <c r="C22">
        <v>-8.5840449999999999E-2</v>
      </c>
      <c r="D22">
        <v>0.95</v>
      </c>
      <c r="E22">
        <v>-0.14155944000000001</v>
      </c>
      <c r="F22">
        <v>-3.006609E-2</v>
      </c>
      <c r="G22">
        <v>8.5840449999999999E-2</v>
      </c>
      <c r="I22">
        <v>14</v>
      </c>
      <c r="J22" t="s">
        <v>21</v>
      </c>
      <c r="K22">
        <v>-0.14337079799999999</v>
      </c>
      <c r="L22">
        <v>0.95</v>
      </c>
      <c r="M22">
        <v>-0.19519230000000001</v>
      </c>
      <c r="N22">
        <v>-9.158695E-2</v>
      </c>
      <c r="O22">
        <v>0.14337079799999999</v>
      </c>
      <c r="Q22">
        <v>14</v>
      </c>
      <c r="R22" t="s">
        <v>35</v>
      </c>
      <c r="S22">
        <v>8.2757269999999994E-2</v>
      </c>
      <c r="T22">
        <v>0.95</v>
      </c>
      <c r="U22">
        <v>2.6536204000000001E-2</v>
      </c>
      <c r="V22">
        <v>0.13922482</v>
      </c>
      <c r="W22">
        <v>8.2757269999999994E-2</v>
      </c>
      <c r="Y22" t="s">
        <v>21</v>
      </c>
      <c r="Z22" s="7" t="e">
        <f t="shared" si="0"/>
        <v>#N/A</v>
      </c>
      <c r="AA22" s="7">
        <f t="shared" si="1"/>
        <v>14</v>
      </c>
      <c r="AB22" s="7">
        <f t="shared" si="2"/>
        <v>12</v>
      </c>
    </row>
    <row r="23" spans="1:28" x14ac:dyDescent="0.2">
      <c r="A23" s="6">
        <v>15</v>
      </c>
      <c r="B23" s="6" t="s">
        <v>8</v>
      </c>
      <c r="C23" s="6">
        <v>6.9752220000000004E-2</v>
      </c>
      <c r="D23" s="6">
        <v>0.95</v>
      </c>
      <c r="E23" s="6">
        <v>-1.881685E-2</v>
      </c>
      <c r="F23" s="6">
        <v>0.15875584000000001</v>
      </c>
      <c r="G23" s="6">
        <v>6.9752220000000004E-2</v>
      </c>
      <c r="I23">
        <v>15</v>
      </c>
      <c r="J23" t="s">
        <v>6</v>
      </c>
      <c r="K23">
        <v>-0.119920164</v>
      </c>
      <c r="L23">
        <v>0.95</v>
      </c>
      <c r="M23">
        <v>-0.18252009</v>
      </c>
      <c r="N23">
        <v>-5.7589210000000002E-2</v>
      </c>
      <c r="O23">
        <v>0.119920164</v>
      </c>
      <c r="Q23">
        <v>15</v>
      </c>
      <c r="R23" t="s">
        <v>13</v>
      </c>
      <c r="S23">
        <v>7.7822379999999997E-2</v>
      </c>
      <c r="T23">
        <v>0.95</v>
      </c>
      <c r="U23">
        <v>2.5906756999999999E-2</v>
      </c>
      <c r="V23">
        <v>0.13018460000000001</v>
      </c>
      <c r="W23">
        <v>7.7822379999999997E-2</v>
      </c>
      <c r="Y23" t="s">
        <v>6</v>
      </c>
      <c r="Z23" s="7" t="e">
        <f t="shared" si="0"/>
        <v>#N/A</v>
      </c>
      <c r="AA23" s="7">
        <f t="shared" si="1"/>
        <v>15</v>
      </c>
      <c r="AB23" s="7">
        <f t="shared" si="2"/>
        <v>14</v>
      </c>
    </row>
    <row r="24" spans="1:28" x14ac:dyDescent="0.2">
      <c r="A24" s="6">
        <v>16</v>
      </c>
      <c r="B24" s="6" t="s">
        <v>13</v>
      </c>
      <c r="C24" s="6">
        <v>-5.7717940000000002E-2</v>
      </c>
      <c r="D24" s="6">
        <v>0.95</v>
      </c>
      <c r="E24" s="6">
        <v>-0.14519059000000001</v>
      </c>
      <c r="F24" s="6">
        <v>2.947048E-2</v>
      </c>
      <c r="G24" s="6">
        <v>5.7717940000000002E-2</v>
      </c>
      <c r="I24">
        <v>16</v>
      </c>
      <c r="J24" t="s">
        <v>28</v>
      </c>
      <c r="K24">
        <v>8.7831000000000006E-2</v>
      </c>
      <c r="L24">
        <v>0.95</v>
      </c>
      <c r="M24">
        <v>3.6867690000000002E-2</v>
      </c>
      <c r="N24">
        <v>0.13923425</v>
      </c>
      <c r="O24">
        <v>8.7831000000000006E-2</v>
      </c>
      <c r="Q24" s="6">
        <v>16</v>
      </c>
      <c r="R24" s="6" t="s">
        <v>7</v>
      </c>
      <c r="S24" s="6">
        <v>6.0576579999999998E-2</v>
      </c>
      <c r="T24" s="6">
        <v>0.95</v>
      </c>
      <c r="U24" s="6">
        <v>-8.6570020000000004E-3</v>
      </c>
      <c r="V24" s="6">
        <v>0.13009359000000001</v>
      </c>
      <c r="W24" s="6">
        <v>6.0576579999999998E-2</v>
      </c>
      <c r="Y24" t="s">
        <v>28</v>
      </c>
      <c r="Z24" s="7" t="e">
        <f t="shared" si="0"/>
        <v>#N/A</v>
      </c>
      <c r="AA24" s="7">
        <f t="shared" si="1"/>
        <v>16</v>
      </c>
      <c r="AB24" s="7">
        <f t="shared" si="2"/>
        <v>13</v>
      </c>
    </row>
    <row r="25" spans="1:28" x14ac:dyDescent="0.2">
      <c r="A25" s="6">
        <v>17</v>
      </c>
      <c r="B25" s="6" t="s">
        <v>5</v>
      </c>
      <c r="C25" s="6">
        <v>3.7102669999999997E-2</v>
      </c>
      <c r="D25" s="6">
        <v>0.95</v>
      </c>
      <c r="E25" s="6">
        <v>-1.6686289999999999E-2</v>
      </c>
      <c r="F25" s="6">
        <v>9.1528310000000002E-2</v>
      </c>
      <c r="G25" s="6">
        <v>3.7102669999999997E-2</v>
      </c>
      <c r="I25">
        <v>17</v>
      </c>
      <c r="J25" t="s">
        <v>94</v>
      </c>
      <c r="K25">
        <v>-8.5929827E-2</v>
      </c>
      <c r="L25">
        <v>0.95</v>
      </c>
      <c r="M25">
        <v>-0.13345486000000001</v>
      </c>
      <c r="N25">
        <v>-3.8704429999999998E-2</v>
      </c>
      <c r="O25">
        <v>8.5929827E-2</v>
      </c>
      <c r="Q25" s="6">
        <v>17</v>
      </c>
      <c r="R25" s="6" t="s">
        <v>17</v>
      </c>
      <c r="S25" s="6">
        <v>5.0743509999999999E-2</v>
      </c>
      <c r="T25" s="6">
        <v>0.95</v>
      </c>
      <c r="U25" s="6">
        <v>-2.524246E-3</v>
      </c>
      <c r="V25" s="6">
        <v>0.10401059999999999</v>
      </c>
      <c r="W25" s="6">
        <v>5.0743509999999999E-2</v>
      </c>
      <c r="Y25" t="s">
        <v>94</v>
      </c>
      <c r="Z25" s="7" t="e">
        <f t="shared" si="0"/>
        <v>#N/A</v>
      </c>
      <c r="AA25" s="7">
        <f t="shared" si="1"/>
        <v>17</v>
      </c>
      <c r="AB25" s="7" t="e">
        <f t="shared" si="2"/>
        <v>#N/A</v>
      </c>
    </row>
    <row r="26" spans="1:28" x14ac:dyDescent="0.2">
      <c r="A26" s="6">
        <v>18</v>
      </c>
      <c r="B26" s="6" t="s">
        <v>9</v>
      </c>
      <c r="C26" s="6">
        <v>3.5549959999999999E-2</v>
      </c>
      <c r="D26" s="6">
        <v>0.95</v>
      </c>
      <c r="E26" s="6">
        <v>-4.9815890000000002E-2</v>
      </c>
      <c r="F26" s="6">
        <v>0.12120751</v>
      </c>
      <c r="G26" s="6">
        <v>3.5549959999999999E-2</v>
      </c>
      <c r="I26">
        <v>18</v>
      </c>
      <c r="J26" t="s">
        <v>91</v>
      </c>
      <c r="K26">
        <v>-7.8723415000000005E-2</v>
      </c>
      <c r="L26">
        <v>0.95</v>
      </c>
      <c r="M26">
        <v>-0.13167495000000001</v>
      </c>
      <c r="N26">
        <v>-2.7268939999999998E-2</v>
      </c>
      <c r="O26">
        <v>7.8723415000000005E-2</v>
      </c>
      <c r="Q26" s="6">
        <v>18</v>
      </c>
      <c r="R26" s="6" t="s">
        <v>36</v>
      </c>
      <c r="S26" s="6">
        <v>-4.2799169999999997E-2</v>
      </c>
      <c r="T26" s="6">
        <v>0.95</v>
      </c>
      <c r="U26" s="6">
        <v>-0.104819866</v>
      </c>
      <c r="V26" s="6">
        <v>1.9249059999999998E-2</v>
      </c>
      <c r="W26" s="6">
        <v>4.2799169999999997E-2</v>
      </c>
      <c r="Y26" t="s">
        <v>34</v>
      </c>
      <c r="Z26" s="7" t="e">
        <f t="shared" si="0"/>
        <v>#N/A</v>
      </c>
      <c r="AA26" s="7" t="e">
        <f t="shared" si="1"/>
        <v>#N/A</v>
      </c>
      <c r="AB26" s="7">
        <f t="shared" si="2"/>
        <v>10</v>
      </c>
    </row>
    <row r="27" spans="1:28" x14ac:dyDescent="0.2">
      <c r="A27" s="6">
        <v>19</v>
      </c>
      <c r="B27" s="6" t="s">
        <v>25</v>
      </c>
      <c r="C27" s="6">
        <v>3.1917139999999997E-2</v>
      </c>
      <c r="D27" s="6">
        <v>0.95</v>
      </c>
      <c r="E27" s="6">
        <v>-1.995978E-2</v>
      </c>
      <c r="F27" s="6">
        <v>8.3897630000000001E-2</v>
      </c>
      <c r="G27" s="6">
        <v>3.1917139999999997E-2</v>
      </c>
      <c r="I27" s="6">
        <v>19</v>
      </c>
      <c r="J27" s="6" t="s">
        <v>14</v>
      </c>
      <c r="K27" s="6">
        <v>-2.8916909000000001E-2</v>
      </c>
      <c r="L27" s="6">
        <v>0.95</v>
      </c>
      <c r="M27" s="6">
        <v>-0.11820827</v>
      </c>
      <c r="N27" s="6">
        <v>6.0532089999999997E-2</v>
      </c>
      <c r="O27" s="6">
        <v>2.8916909000000001E-2</v>
      </c>
      <c r="Q27" s="6">
        <v>19</v>
      </c>
      <c r="R27" s="6" t="s">
        <v>10</v>
      </c>
      <c r="S27" s="6">
        <v>3.4636430000000003E-2</v>
      </c>
      <c r="T27" s="6">
        <v>0.95</v>
      </c>
      <c r="U27" s="6">
        <v>-1.7586793E-2</v>
      </c>
      <c r="V27" s="6">
        <v>8.7271230000000005E-2</v>
      </c>
      <c r="W27" s="6">
        <v>3.4636430000000003E-2</v>
      </c>
      <c r="Y27" t="s">
        <v>35</v>
      </c>
      <c r="Z27" s="7" t="e">
        <f t="shared" si="0"/>
        <v>#N/A</v>
      </c>
      <c r="AA27" s="7" t="e">
        <f t="shared" si="1"/>
        <v>#N/A</v>
      </c>
      <c r="AB27" s="7">
        <f t="shared" si="2"/>
        <v>15</v>
      </c>
    </row>
    <row r="28" spans="1:28" x14ac:dyDescent="0.2">
      <c r="A28" s="6">
        <v>20</v>
      </c>
      <c r="B28" s="6" t="s">
        <v>10</v>
      </c>
      <c r="C28" s="6">
        <v>-1.913256E-2</v>
      </c>
      <c r="D28" s="6">
        <v>0.95</v>
      </c>
      <c r="E28" s="6">
        <v>-6.9787639999999998E-2</v>
      </c>
      <c r="F28" s="6">
        <v>3.1788230000000001E-2</v>
      </c>
      <c r="G28" s="6">
        <v>1.913256E-2</v>
      </c>
      <c r="I28" s="6">
        <v>20</v>
      </c>
      <c r="J28" s="6" t="s">
        <v>10</v>
      </c>
      <c r="K28" s="6">
        <v>2.2198216999999999E-2</v>
      </c>
      <c r="L28" s="6">
        <v>0.95</v>
      </c>
      <c r="M28" s="6">
        <v>-2.5374589999999999E-2</v>
      </c>
      <c r="N28" s="6">
        <v>6.9917569999999998E-2</v>
      </c>
      <c r="O28" s="6">
        <v>2.2198216999999999E-2</v>
      </c>
      <c r="Q28" s="6">
        <v>20</v>
      </c>
      <c r="R28" s="6" t="s">
        <v>24</v>
      </c>
      <c r="S28" s="6">
        <v>2.7645070000000001E-2</v>
      </c>
      <c r="T28" s="6">
        <v>0.95</v>
      </c>
      <c r="U28" s="6">
        <v>-2.3605754E-2</v>
      </c>
      <c r="V28" s="6">
        <v>7.9424850000000005E-2</v>
      </c>
      <c r="W28" s="6">
        <v>2.7645070000000001E-2</v>
      </c>
    </row>
    <row r="29" spans="1:28" x14ac:dyDescent="0.2">
      <c r="A29" s="6">
        <v>21</v>
      </c>
      <c r="B29" s="6" t="s">
        <v>6</v>
      </c>
      <c r="C29" s="6">
        <v>-1.4834699999999999E-2</v>
      </c>
      <c r="D29" s="6">
        <v>0.95</v>
      </c>
      <c r="E29" s="6">
        <v>-8.3817370000000002E-2</v>
      </c>
      <c r="F29" s="6">
        <v>5.4480559999999997E-2</v>
      </c>
      <c r="G29" s="6">
        <v>1.4834699999999999E-2</v>
      </c>
      <c r="I29" s="6">
        <v>21</v>
      </c>
      <c r="J29" s="6" t="s">
        <v>24</v>
      </c>
      <c r="K29" s="6">
        <v>-8.095306E-3</v>
      </c>
      <c r="L29" s="6">
        <v>0.95</v>
      </c>
      <c r="M29" s="6">
        <v>-5.5308019999999999E-2</v>
      </c>
      <c r="N29" s="6">
        <v>3.9136219999999999E-2</v>
      </c>
      <c r="O29" s="6">
        <v>8.095306E-3</v>
      </c>
      <c r="Q29" s="6">
        <v>21</v>
      </c>
      <c r="R29" s="6" t="s">
        <v>11</v>
      </c>
      <c r="S29" s="6">
        <v>1.9990750000000002E-2</v>
      </c>
      <c r="T29" s="6">
        <v>0.95</v>
      </c>
      <c r="U29" s="6">
        <v>-4.4119731000000002E-2</v>
      </c>
      <c r="V29" s="6">
        <v>8.4222450000000004E-2</v>
      </c>
      <c r="W29" s="6">
        <v>1.9990750000000002E-2</v>
      </c>
    </row>
    <row r="30" spans="1:28" x14ac:dyDescent="0.2">
      <c r="A30" t="s">
        <v>212</v>
      </c>
      <c r="I30" t="s">
        <v>212</v>
      </c>
      <c r="Q30" t="s">
        <v>212</v>
      </c>
    </row>
    <row r="33" spans="1:23" s="10" customFormat="1" x14ac:dyDescent="0.2">
      <c r="A33" s="9" t="s">
        <v>225</v>
      </c>
    </row>
    <row r="35" spans="1:23" x14ac:dyDescent="0.2">
      <c r="A35" s="3" t="s">
        <v>83</v>
      </c>
      <c r="I35" s="3" t="s">
        <v>84</v>
      </c>
      <c r="Q35" s="3" t="s">
        <v>85</v>
      </c>
    </row>
    <row r="36" spans="1:23" x14ac:dyDescent="0.2">
      <c r="A36" s="18" t="s">
        <v>75</v>
      </c>
      <c r="B36" s="4">
        <v>0.73260000000000003</v>
      </c>
      <c r="I36" s="18" t="s">
        <v>75</v>
      </c>
      <c r="J36" s="4">
        <v>0.68049999999999999</v>
      </c>
      <c r="Q36" s="18" t="s">
        <v>75</v>
      </c>
      <c r="R36" s="4">
        <v>0.68010000000000004</v>
      </c>
    </row>
    <row r="37" spans="1:23" x14ac:dyDescent="0.2">
      <c r="A37" s="18" t="s">
        <v>211</v>
      </c>
      <c r="B37" s="4">
        <f>'State GLM'!B103</f>
        <v>0.69779999999999998</v>
      </c>
      <c r="C37" s="4">
        <f>B36-B37</f>
        <v>3.4800000000000053E-2</v>
      </c>
      <c r="I37" s="18" t="s">
        <v>211</v>
      </c>
      <c r="J37" s="4">
        <f>'State GLM'!J103</f>
        <v>0.65490000000000004</v>
      </c>
      <c r="K37" s="4">
        <f>J36-J37</f>
        <v>2.5599999999999956E-2</v>
      </c>
      <c r="Q37" s="18" t="s">
        <v>211</v>
      </c>
      <c r="R37" s="4">
        <f>'State GLM'!R103</f>
        <v>0.65800000000000003</v>
      </c>
      <c r="S37" s="4">
        <f>R36-R37</f>
        <v>2.2100000000000009E-2</v>
      </c>
    </row>
    <row r="38" spans="1:23" x14ac:dyDescent="0.2">
      <c r="A38" s="3"/>
      <c r="I38" s="3"/>
      <c r="Q38" s="3"/>
    </row>
    <row r="39" spans="1:23" x14ac:dyDescent="0.2">
      <c r="A39" s="3"/>
      <c r="B39" s="3" t="s">
        <v>154</v>
      </c>
      <c r="C39" s="3" t="s">
        <v>155</v>
      </c>
      <c r="D39" s="3" t="s">
        <v>71</v>
      </c>
      <c r="E39" s="3" t="s">
        <v>72</v>
      </c>
      <c r="F39" s="3" t="s">
        <v>73</v>
      </c>
      <c r="G39" s="3" t="s">
        <v>74</v>
      </c>
      <c r="I39" s="3"/>
      <c r="J39" s="3" t="s">
        <v>154</v>
      </c>
      <c r="K39" s="3" t="s">
        <v>155</v>
      </c>
      <c r="L39" s="3" t="s">
        <v>71</v>
      </c>
      <c r="M39" s="3" t="s">
        <v>72</v>
      </c>
      <c r="N39" s="3" t="s">
        <v>73</v>
      </c>
      <c r="O39" s="3" t="s">
        <v>74</v>
      </c>
      <c r="Q39" s="3"/>
      <c r="R39" s="3" t="s">
        <v>154</v>
      </c>
      <c r="S39" s="3" t="s">
        <v>155</v>
      </c>
      <c r="T39" s="3" t="s">
        <v>71</v>
      </c>
      <c r="U39" s="3" t="s">
        <v>72</v>
      </c>
      <c r="V39" s="3" t="s">
        <v>73</v>
      </c>
      <c r="W39" s="3" t="s">
        <v>74</v>
      </c>
    </row>
    <row r="41" spans="1:23" x14ac:dyDescent="0.2">
      <c r="A41">
        <v>1</v>
      </c>
      <c r="B41" t="s">
        <v>0</v>
      </c>
      <c r="C41">
        <v>-0.92330570000000001</v>
      </c>
      <c r="D41">
        <v>0.95</v>
      </c>
      <c r="E41">
        <v>-0.9866239</v>
      </c>
      <c r="F41">
        <v>-0.86092179999999996</v>
      </c>
      <c r="G41">
        <v>0.92330570000000001</v>
      </c>
      <c r="I41">
        <v>1</v>
      </c>
      <c r="J41" t="s">
        <v>0</v>
      </c>
      <c r="K41">
        <v>-0.63855298000000005</v>
      </c>
      <c r="L41">
        <v>0.95</v>
      </c>
      <c r="M41">
        <v>-0.69378399999999996</v>
      </c>
      <c r="N41">
        <v>-0.58383160000000001</v>
      </c>
      <c r="O41">
        <v>0.63855298000000005</v>
      </c>
      <c r="Q41">
        <v>1</v>
      </c>
      <c r="R41" t="s">
        <v>79</v>
      </c>
      <c r="S41">
        <v>1.1178292000000001</v>
      </c>
      <c r="T41">
        <v>0.95</v>
      </c>
      <c r="U41">
        <v>1.0693575</v>
      </c>
      <c r="V41">
        <v>1.1668322</v>
      </c>
      <c r="W41">
        <v>1.1178292000000001</v>
      </c>
    </row>
    <row r="42" spans="1:23" x14ac:dyDescent="0.2">
      <c r="A42">
        <v>2</v>
      </c>
      <c r="B42" t="s">
        <v>79</v>
      </c>
      <c r="C42">
        <v>0.83875920000000004</v>
      </c>
      <c r="D42">
        <v>0.95</v>
      </c>
      <c r="E42">
        <v>0.79170260000000003</v>
      </c>
      <c r="F42">
        <v>0.88619139999999996</v>
      </c>
      <c r="G42">
        <v>0.83875920000000004</v>
      </c>
      <c r="I42">
        <v>2</v>
      </c>
      <c r="J42" t="s">
        <v>79</v>
      </c>
      <c r="K42">
        <v>0.39675778</v>
      </c>
      <c r="L42">
        <v>0.95</v>
      </c>
      <c r="M42">
        <v>0.35446440000000001</v>
      </c>
      <c r="N42">
        <v>0.4391911</v>
      </c>
      <c r="O42">
        <v>0.39675778</v>
      </c>
      <c r="Q42">
        <v>2</v>
      </c>
      <c r="R42" t="s">
        <v>2</v>
      </c>
      <c r="S42">
        <v>0.37458970000000003</v>
      </c>
      <c r="T42">
        <v>0.95</v>
      </c>
      <c r="U42">
        <v>0.31240449999999997</v>
      </c>
      <c r="V42">
        <v>0.43863859999999999</v>
      </c>
      <c r="W42">
        <v>0.37458970000000003</v>
      </c>
    </row>
    <row r="43" spans="1:23" x14ac:dyDescent="0.2">
      <c r="A43">
        <v>3</v>
      </c>
      <c r="B43" t="s">
        <v>90</v>
      </c>
      <c r="C43">
        <v>0.54260370000000002</v>
      </c>
      <c r="D43">
        <v>0.95</v>
      </c>
      <c r="E43">
        <v>0.48502810000000002</v>
      </c>
      <c r="F43">
        <v>0.60076799999999997</v>
      </c>
      <c r="G43">
        <v>0.54260370000000002</v>
      </c>
      <c r="I43">
        <v>3</v>
      </c>
      <c r="J43" t="s">
        <v>1</v>
      </c>
      <c r="K43">
        <v>0.33389044000000001</v>
      </c>
      <c r="L43">
        <v>0.95</v>
      </c>
      <c r="M43">
        <v>0.28719719999999999</v>
      </c>
      <c r="N43">
        <v>0.38107760000000002</v>
      </c>
      <c r="O43">
        <v>0.33389044000000001</v>
      </c>
      <c r="Q43">
        <v>3</v>
      </c>
      <c r="R43" t="s">
        <v>1</v>
      </c>
      <c r="S43">
        <v>0.32639489999999999</v>
      </c>
      <c r="T43">
        <v>0.95</v>
      </c>
      <c r="U43">
        <v>0.27554200000000001</v>
      </c>
      <c r="V43">
        <v>0.37767650000000003</v>
      </c>
      <c r="W43">
        <v>0.32639489999999999</v>
      </c>
    </row>
    <row r="44" spans="1:23" x14ac:dyDescent="0.2">
      <c r="A44">
        <v>4</v>
      </c>
      <c r="B44" t="s">
        <v>2</v>
      </c>
      <c r="C44">
        <v>0.44984360000000001</v>
      </c>
      <c r="D44">
        <v>0.95</v>
      </c>
      <c r="E44">
        <v>0.39276139999999998</v>
      </c>
      <c r="F44">
        <v>0.50822000000000001</v>
      </c>
      <c r="G44">
        <v>0.44984360000000001</v>
      </c>
      <c r="I44">
        <v>4</v>
      </c>
      <c r="J44" t="s">
        <v>90</v>
      </c>
      <c r="K44">
        <v>0.31634099999999998</v>
      </c>
      <c r="L44">
        <v>0.95</v>
      </c>
      <c r="M44">
        <v>0.26401239999999998</v>
      </c>
      <c r="N44">
        <v>0.36894100000000002</v>
      </c>
      <c r="O44">
        <v>0.31634099999999998</v>
      </c>
      <c r="Q44">
        <v>4</v>
      </c>
      <c r="R44" t="s">
        <v>0</v>
      </c>
      <c r="S44">
        <v>-0.28180529999999998</v>
      </c>
      <c r="T44">
        <v>0.95</v>
      </c>
      <c r="U44">
        <v>-0.33965079999999997</v>
      </c>
      <c r="V44">
        <v>-0.2238298</v>
      </c>
      <c r="W44">
        <v>0.28180529999999998</v>
      </c>
    </row>
    <row r="45" spans="1:23" x14ac:dyDescent="0.2">
      <c r="A45">
        <v>5</v>
      </c>
      <c r="B45" t="s">
        <v>1</v>
      </c>
      <c r="C45">
        <v>0.23766670000000001</v>
      </c>
      <c r="D45">
        <v>0.95</v>
      </c>
      <c r="E45">
        <v>0.1887867</v>
      </c>
      <c r="F45">
        <v>0.28696509999999997</v>
      </c>
      <c r="G45">
        <v>0.23766670000000001</v>
      </c>
      <c r="I45">
        <v>5</v>
      </c>
      <c r="J45" t="s">
        <v>2</v>
      </c>
      <c r="K45">
        <v>0.21508078999999999</v>
      </c>
      <c r="L45">
        <v>0.95</v>
      </c>
      <c r="M45">
        <v>0.16609879999999999</v>
      </c>
      <c r="N45">
        <v>0.26557130000000001</v>
      </c>
      <c r="O45">
        <v>0.21508078999999999</v>
      </c>
      <c r="Q45">
        <v>5</v>
      </c>
      <c r="R45" t="s">
        <v>4</v>
      </c>
      <c r="S45">
        <v>-0.2680748</v>
      </c>
      <c r="T45">
        <v>0.95</v>
      </c>
      <c r="U45">
        <v>-0.31433909999999998</v>
      </c>
      <c r="V45">
        <v>-0.22195110000000001</v>
      </c>
      <c r="W45">
        <v>0.2680748</v>
      </c>
    </row>
    <row r="46" spans="1:23" x14ac:dyDescent="0.2">
      <c r="A46">
        <v>6</v>
      </c>
      <c r="B46" t="s">
        <v>3</v>
      </c>
      <c r="C46">
        <v>-0.1774075</v>
      </c>
      <c r="D46">
        <v>0.95</v>
      </c>
      <c r="E46">
        <v>-0.2218677</v>
      </c>
      <c r="F46">
        <v>-0.13309940000000001</v>
      </c>
      <c r="G46">
        <v>0.1774075</v>
      </c>
      <c r="I46">
        <v>6</v>
      </c>
      <c r="J46" t="s">
        <v>3</v>
      </c>
      <c r="K46">
        <v>-0.19759234000000001</v>
      </c>
      <c r="L46">
        <v>0.95</v>
      </c>
      <c r="M46">
        <v>-0.2410968</v>
      </c>
      <c r="N46">
        <v>-0.15442210000000001</v>
      </c>
      <c r="O46">
        <v>0.19759234000000001</v>
      </c>
      <c r="Q46">
        <v>6</v>
      </c>
      <c r="R46" t="s">
        <v>3</v>
      </c>
      <c r="S46">
        <v>-0.1708653</v>
      </c>
      <c r="T46">
        <v>0.95</v>
      </c>
      <c r="U46">
        <v>-0.21435309999999999</v>
      </c>
      <c r="V46">
        <v>-0.12733520000000001</v>
      </c>
      <c r="W46">
        <v>0.1708653</v>
      </c>
    </row>
    <row r="47" spans="1:23" x14ac:dyDescent="0.2">
      <c r="A47">
        <v>7</v>
      </c>
      <c r="B47" t="s">
        <v>4</v>
      </c>
      <c r="C47">
        <v>-0.17246239999999999</v>
      </c>
      <c r="D47">
        <v>0.95</v>
      </c>
      <c r="E47">
        <v>-0.21955150000000001</v>
      </c>
      <c r="F47">
        <v>-0.12548719999999999</v>
      </c>
      <c r="G47">
        <v>0.17246239999999999</v>
      </c>
      <c r="I47">
        <v>7</v>
      </c>
      <c r="J47" t="s">
        <v>4</v>
      </c>
      <c r="K47">
        <v>-5.9362779999999997E-2</v>
      </c>
      <c r="L47">
        <v>0.95</v>
      </c>
      <c r="M47">
        <v>-0.1024723</v>
      </c>
      <c r="N47">
        <v>-1.63378E-2</v>
      </c>
      <c r="O47">
        <v>5.9362779999999997E-2</v>
      </c>
      <c r="Q47">
        <v>7</v>
      </c>
      <c r="R47" t="s">
        <v>90</v>
      </c>
      <c r="S47">
        <v>0.16280849999999999</v>
      </c>
      <c r="T47">
        <v>0.95</v>
      </c>
      <c r="U47">
        <v>0.105159</v>
      </c>
      <c r="V47">
        <v>0.22012789999999999</v>
      </c>
      <c r="W47">
        <v>0.16280849999999999</v>
      </c>
    </row>
    <row r="48" spans="1:23" x14ac:dyDescent="0.2">
      <c r="A48" t="s">
        <v>226</v>
      </c>
      <c r="I48" t="s">
        <v>226</v>
      </c>
      <c r="Q48" t="s">
        <v>226</v>
      </c>
    </row>
    <row r="51" spans="1:23" s="10" customFormat="1" x14ac:dyDescent="0.2">
      <c r="A51" s="9" t="s">
        <v>229</v>
      </c>
    </row>
    <row r="53" spans="1:23" x14ac:dyDescent="0.2">
      <c r="A53" s="3" t="s">
        <v>83</v>
      </c>
      <c r="I53" s="3" t="s">
        <v>84</v>
      </c>
      <c r="Q53" s="3" t="s">
        <v>85</v>
      </c>
    </row>
    <row r="54" spans="1:23" x14ac:dyDescent="0.2">
      <c r="A54" s="18" t="s">
        <v>75</v>
      </c>
      <c r="B54" s="4">
        <v>0.73309999999999997</v>
      </c>
      <c r="I54" s="18" t="s">
        <v>75</v>
      </c>
      <c r="J54" s="4">
        <v>0.69879999999999998</v>
      </c>
      <c r="Q54" s="18" t="s">
        <v>75</v>
      </c>
      <c r="R54" s="4">
        <v>0.68989999999999996</v>
      </c>
    </row>
    <row r="55" spans="1:23" x14ac:dyDescent="0.2">
      <c r="A55" s="18" t="s">
        <v>211</v>
      </c>
      <c r="B55" s="4">
        <f>'State GLM'!B36</f>
        <v>0.7016</v>
      </c>
      <c r="C55" s="4">
        <f>B54-B55</f>
        <v>3.1499999999999972E-2</v>
      </c>
      <c r="I55" s="18" t="s">
        <v>211</v>
      </c>
      <c r="J55" s="4">
        <f>'State GLM'!J36</f>
        <v>0.67410000000000003</v>
      </c>
      <c r="K55" s="4">
        <f>J54-J55</f>
        <v>2.4699999999999944E-2</v>
      </c>
      <c r="Q55" s="18" t="s">
        <v>211</v>
      </c>
      <c r="R55" s="4">
        <f>'State GLM'!R36</f>
        <v>0.68069999999999997</v>
      </c>
      <c r="S55" s="4">
        <f>R54-R55</f>
        <v>9.199999999999986E-3</v>
      </c>
    </row>
    <row r="57" spans="1:23" x14ac:dyDescent="0.2">
      <c r="B57" t="s">
        <v>154</v>
      </c>
      <c r="C57" t="s">
        <v>155</v>
      </c>
      <c r="D57" t="s">
        <v>71</v>
      </c>
      <c r="E57" t="s">
        <v>72</v>
      </c>
      <c r="F57" t="s">
        <v>73</v>
      </c>
      <c r="G57" t="s">
        <v>74</v>
      </c>
      <c r="J57" t="s">
        <v>154</v>
      </c>
      <c r="K57" t="s">
        <v>155</v>
      </c>
      <c r="L57" t="s">
        <v>71</v>
      </c>
      <c r="M57" t="s">
        <v>72</v>
      </c>
      <c r="N57" t="s">
        <v>73</v>
      </c>
      <c r="O57" t="s">
        <v>74</v>
      </c>
      <c r="R57" t="s">
        <v>154</v>
      </c>
      <c r="S57" t="s">
        <v>155</v>
      </c>
      <c r="T57" t="s">
        <v>71</v>
      </c>
      <c r="U57" t="s">
        <v>72</v>
      </c>
      <c r="V57" t="s">
        <v>73</v>
      </c>
      <c r="W57" t="s">
        <v>74</v>
      </c>
    </row>
    <row r="59" spans="1:23" x14ac:dyDescent="0.2">
      <c r="A59">
        <v>1</v>
      </c>
      <c r="B59" t="s">
        <v>0</v>
      </c>
      <c r="C59">
        <v>-0.89645242300000005</v>
      </c>
      <c r="D59">
        <v>0.95</v>
      </c>
      <c r="E59">
        <v>-0.96035548000000004</v>
      </c>
      <c r="F59">
        <v>-0.83348049000000002</v>
      </c>
      <c r="G59">
        <v>0.89645242300000005</v>
      </c>
      <c r="I59">
        <v>1</v>
      </c>
      <c r="J59" t="s">
        <v>0</v>
      </c>
      <c r="K59">
        <v>-0.65627656999999995</v>
      </c>
      <c r="L59">
        <v>0.95</v>
      </c>
      <c r="M59">
        <v>-0.71342514000000001</v>
      </c>
      <c r="N59">
        <v>-0.59965489999999999</v>
      </c>
      <c r="O59">
        <v>0.65627656999999995</v>
      </c>
      <c r="Q59">
        <v>1</v>
      </c>
      <c r="R59" t="s">
        <v>79</v>
      </c>
      <c r="S59">
        <v>1.1302389399999999</v>
      </c>
      <c r="T59">
        <v>0.95</v>
      </c>
      <c r="U59">
        <v>1.08114361</v>
      </c>
      <c r="V59">
        <v>1.179889</v>
      </c>
      <c r="W59">
        <v>1.1302389399999999</v>
      </c>
    </row>
    <row r="60" spans="1:23" x14ac:dyDescent="0.2">
      <c r="A60">
        <v>2</v>
      </c>
      <c r="B60" t="s">
        <v>79</v>
      </c>
      <c r="C60">
        <v>0.84125360599999999</v>
      </c>
      <c r="D60">
        <v>0.95</v>
      </c>
      <c r="E60">
        <v>0.79383682</v>
      </c>
      <c r="F60">
        <v>0.88905290000000003</v>
      </c>
      <c r="G60">
        <v>0.84125360599999999</v>
      </c>
      <c r="I60">
        <v>2</v>
      </c>
      <c r="J60" t="s">
        <v>79</v>
      </c>
      <c r="K60">
        <v>0.41040606000000002</v>
      </c>
      <c r="L60">
        <v>0.95</v>
      </c>
      <c r="M60">
        <v>0.36707514000000002</v>
      </c>
      <c r="N60">
        <v>0.4538856</v>
      </c>
      <c r="O60">
        <v>0.41040606000000002</v>
      </c>
      <c r="Q60">
        <v>2</v>
      </c>
      <c r="R60" t="s">
        <v>2</v>
      </c>
      <c r="S60">
        <v>0.36509096000000002</v>
      </c>
      <c r="T60">
        <v>0.95</v>
      </c>
      <c r="U60">
        <v>0.29953380000000002</v>
      </c>
      <c r="V60">
        <v>0.43241740000000001</v>
      </c>
      <c r="W60">
        <v>0.36509096000000002</v>
      </c>
    </row>
    <row r="61" spans="1:23" x14ac:dyDescent="0.2">
      <c r="A61">
        <v>3</v>
      </c>
      <c r="B61" t="s">
        <v>90</v>
      </c>
      <c r="C61">
        <v>0.54180752300000001</v>
      </c>
      <c r="D61">
        <v>0.95</v>
      </c>
      <c r="E61">
        <v>0.48378442999999999</v>
      </c>
      <c r="F61">
        <v>0.60041907000000005</v>
      </c>
      <c r="G61">
        <v>0.54180752300000001</v>
      </c>
      <c r="I61">
        <v>3</v>
      </c>
      <c r="J61" t="s">
        <v>9</v>
      </c>
      <c r="K61">
        <v>-0.32724700000000001</v>
      </c>
      <c r="L61">
        <v>0.95</v>
      </c>
      <c r="M61">
        <v>-0.37976169999999998</v>
      </c>
      <c r="N61">
        <v>-0.27491900000000002</v>
      </c>
      <c r="O61">
        <v>0.32724700000000001</v>
      </c>
      <c r="Q61">
        <v>3</v>
      </c>
      <c r="R61" t="s">
        <v>0</v>
      </c>
      <c r="S61">
        <v>-0.27910439999999997</v>
      </c>
      <c r="T61">
        <v>0.95</v>
      </c>
      <c r="U61">
        <v>-0.33758228000000001</v>
      </c>
      <c r="V61">
        <v>-0.22052060000000001</v>
      </c>
      <c r="W61">
        <v>0.27910439999999997</v>
      </c>
    </row>
    <row r="62" spans="1:23" x14ac:dyDescent="0.2">
      <c r="A62">
        <v>4</v>
      </c>
      <c r="B62" t="s">
        <v>2</v>
      </c>
      <c r="C62">
        <v>0.47624880000000003</v>
      </c>
      <c r="D62">
        <v>0.95</v>
      </c>
      <c r="E62">
        <v>0.41606289000000002</v>
      </c>
      <c r="F62">
        <v>0.53767836999999996</v>
      </c>
      <c r="G62">
        <v>0.47624880000000003</v>
      </c>
      <c r="I62">
        <v>4</v>
      </c>
      <c r="J62" t="s">
        <v>90</v>
      </c>
      <c r="K62">
        <v>0.31866053999999999</v>
      </c>
      <c r="L62">
        <v>0.95</v>
      </c>
      <c r="M62">
        <v>0.26525441999999999</v>
      </c>
      <c r="N62">
        <v>0.37230960000000002</v>
      </c>
      <c r="O62">
        <v>0.31866053999999999</v>
      </c>
      <c r="Q62">
        <v>4</v>
      </c>
      <c r="R62" t="s">
        <v>5</v>
      </c>
      <c r="S62">
        <v>0.27398937000000001</v>
      </c>
      <c r="T62">
        <v>0.95</v>
      </c>
      <c r="U62">
        <v>0.2176334</v>
      </c>
      <c r="V62">
        <v>0.33134859999999999</v>
      </c>
      <c r="W62">
        <v>0.27398937000000001</v>
      </c>
    </row>
    <row r="63" spans="1:23" x14ac:dyDescent="0.2">
      <c r="A63">
        <v>5</v>
      </c>
      <c r="B63" t="s">
        <v>1</v>
      </c>
      <c r="C63">
        <v>0.19639140499999999</v>
      </c>
      <c r="D63">
        <v>0.95</v>
      </c>
      <c r="E63">
        <v>0.14517864</v>
      </c>
      <c r="F63">
        <v>0.24797767000000001</v>
      </c>
      <c r="G63">
        <v>0.19639140499999999</v>
      </c>
      <c r="I63">
        <v>5</v>
      </c>
      <c r="J63" t="s">
        <v>2</v>
      </c>
      <c r="K63">
        <v>0.23907586</v>
      </c>
      <c r="L63">
        <v>0.95</v>
      </c>
      <c r="M63">
        <v>0.18894706999999999</v>
      </c>
      <c r="N63">
        <v>0.29063870000000003</v>
      </c>
      <c r="O63">
        <v>0.23907586</v>
      </c>
      <c r="Q63">
        <v>5</v>
      </c>
      <c r="R63" t="s">
        <v>1</v>
      </c>
      <c r="S63">
        <v>0.26489161</v>
      </c>
      <c r="T63">
        <v>0.95</v>
      </c>
      <c r="U63">
        <v>0.21125446000000001</v>
      </c>
      <c r="V63">
        <v>0.31891019999999998</v>
      </c>
      <c r="W63">
        <v>0.26489161</v>
      </c>
    </row>
    <row r="64" spans="1:23" x14ac:dyDescent="0.2">
      <c r="A64">
        <v>6</v>
      </c>
      <c r="B64" t="s">
        <v>3</v>
      </c>
      <c r="C64">
        <v>-0.19392974199999999</v>
      </c>
      <c r="D64">
        <v>0.95</v>
      </c>
      <c r="E64">
        <v>-0.23947909000000001</v>
      </c>
      <c r="F64">
        <v>-0.14854658000000001</v>
      </c>
      <c r="G64">
        <v>0.19392974199999999</v>
      </c>
      <c r="I64">
        <v>6</v>
      </c>
      <c r="J64" t="s">
        <v>3</v>
      </c>
      <c r="K64">
        <v>-0.20489610999999999</v>
      </c>
      <c r="L64">
        <v>0.95</v>
      </c>
      <c r="M64">
        <v>-0.24994363</v>
      </c>
      <c r="N64">
        <v>-0.160244</v>
      </c>
      <c r="O64">
        <v>0.20489610999999999</v>
      </c>
      <c r="Q64">
        <v>6</v>
      </c>
      <c r="R64" t="s">
        <v>4</v>
      </c>
      <c r="S64">
        <v>-0.25189549</v>
      </c>
      <c r="T64">
        <v>0.95</v>
      </c>
      <c r="U64">
        <v>-0.29912329999999998</v>
      </c>
      <c r="V64">
        <v>-0.20481550000000001</v>
      </c>
      <c r="W64">
        <v>0.25189549</v>
      </c>
    </row>
    <row r="65" spans="1:23" x14ac:dyDescent="0.2">
      <c r="A65">
        <v>7</v>
      </c>
      <c r="B65" t="s">
        <v>4</v>
      </c>
      <c r="C65">
        <v>-0.18803621100000001</v>
      </c>
      <c r="D65">
        <v>0.95</v>
      </c>
      <c r="E65">
        <v>-0.23610146000000001</v>
      </c>
      <c r="F65">
        <v>-0.14009004</v>
      </c>
      <c r="G65">
        <v>0.18803621100000001</v>
      </c>
      <c r="I65">
        <v>7</v>
      </c>
      <c r="J65" t="s">
        <v>4</v>
      </c>
      <c r="K65">
        <v>-0.17446801000000001</v>
      </c>
      <c r="L65">
        <v>0.95</v>
      </c>
      <c r="M65">
        <v>-0.21982286000000001</v>
      </c>
      <c r="N65">
        <v>-0.12923470000000001</v>
      </c>
      <c r="O65">
        <v>0.17446801000000001</v>
      </c>
      <c r="Q65">
        <v>7</v>
      </c>
      <c r="R65" t="s">
        <v>3</v>
      </c>
      <c r="S65">
        <v>-0.20576651000000001</v>
      </c>
      <c r="T65">
        <v>0.95</v>
      </c>
      <c r="U65">
        <v>-0.25181923000000001</v>
      </c>
      <c r="V65">
        <v>-0.15973039999999999</v>
      </c>
      <c r="W65">
        <v>0.20576651000000001</v>
      </c>
    </row>
    <row r="66" spans="1:23" x14ac:dyDescent="0.2">
      <c r="A66">
        <v>8</v>
      </c>
      <c r="B66" t="s">
        <v>9</v>
      </c>
      <c r="C66">
        <v>-0.14799890600000001</v>
      </c>
      <c r="D66">
        <v>0.95</v>
      </c>
      <c r="E66">
        <v>-0.19916064</v>
      </c>
      <c r="F66">
        <v>-9.6802440000000003E-2</v>
      </c>
      <c r="G66">
        <v>0.14799890600000001</v>
      </c>
      <c r="I66">
        <v>8</v>
      </c>
      <c r="J66" t="s">
        <v>1</v>
      </c>
      <c r="K66">
        <v>0.17424922000000001</v>
      </c>
      <c r="L66">
        <v>0.95</v>
      </c>
      <c r="M66">
        <v>0.12034913999999999</v>
      </c>
      <c r="N66">
        <v>0.22851150000000001</v>
      </c>
      <c r="O66">
        <v>0.17424922000000001</v>
      </c>
      <c r="Q66">
        <v>8</v>
      </c>
      <c r="R66" t="s">
        <v>9</v>
      </c>
      <c r="S66">
        <v>-0.16447038999999999</v>
      </c>
      <c r="T66">
        <v>0.95</v>
      </c>
      <c r="U66">
        <v>-0.21692011</v>
      </c>
      <c r="V66">
        <v>-0.11189590000000001</v>
      </c>
      <c r="W66">
        <v>0.16447038999999999</v>
      </c>
    </row>
    <row r="67" spans="1:23" x14ac:dyDescent="0.2">
      <c r="A67">
        <v>9</v>
      </c>
      <c r="B67" t="s">
        <v>5</v>
      </c>
      <c r="C67">
        <v>0.112649969</v>
      </c>
      <c r="D67">
        <v>0.95</v>
      </c>
      <c r="E67">
        <v>6.2899140000000006E-2</v>
      </c>
      <c r="F67">
        <v>0.16312310999999999</v>
      </c>
      <c r="G67">
        <v>0.112649969</v>
      </c>
      <c r="I67">
        <v>9</v>
      </c>
      <c r="J67" t="s">
        <v>5</v>
      </c>
      <c r="K67">
        <v>0.10234486</v>
      </c>
      <c r="L67">
        <v>0.95</v>
      </c>
      <c r="M67">
        <v>5.6339670000000001E-2</v>
      </c>
      <c r="N67">
        <v>0.14880959999999999</v>
      </c>
      <c r="O67">
        <v>0.10234486</v>
      </c>
      <c r="Q67">
        <v>9</v>
      </c>
      <c r="R67" t="s">
        <v>90</v>
      </c>
      <c r="S67">
        <v>0.16396627999999999</v>
      </c>
      <c r="T67">
        <v>0.95</v>
      </c>
      <c r="U67">
        <v>0.10582421</v>
      </c>
      <c r="V67">
        <v>0.2218009</v>
      </c>
      <c r="W67">
        <v>0.16396627999999999</v>
      </c>
    </row>
    <row r="68" spans="1:23" x14ac:dyDescent="0.2">
      <c r="A68">
        <v>10</v>
      </c>
      <c r="B68" s="6" t="s">
        <v>13</v>
      </c>
      <c r="C68" s="6">
        <v>3.8655800000000001E-4</v>
      </c>
      <c r="D68" s="6">
        <v>0.95</v>
      </c>
      <c r="E68" s="6">
        <v>-4.6904179999999997E-2</v>
      </c>
      <c r="F68" s="6">
        <v>4.7755300000000001E-2</v>
      </c>
      <c r="G68" s="6">
        <v>3.8655800000000001E-4</v>
      </c>
      <c r="I68">
        <v>10</v>
      </c>
      <c r="J68" t="s">
        <v>13</v>
      </c>
      <c r="K68">
        <v>6.8955730000000007E-2</v>
      </c>
      <c r="L68">
        <v>0.95</v>
      </c>
      <c r="M68">
        <v>1.998668E-2</v>
      </c>
      <c r="N68">
        <v>0.1179822</v>
      </c>
      <c r="O68">
        <v>6.8955730000000007E-2</v>
      </c>
      <c r="Q68">
        <v>10</v>
      </c>
      <c r="R68" t="s">
        <v>13</v>
      </c>
      <c r="S68">
        <v>5.4510959999999997E-2</v>
      </c>
      <c r="T68">
        <v>0.95</v>
      </c>
      <c r="U68">
        <v>5.7890600000000004E-3</v>
      </c>
      <c r="V68">
        <v>0.1036773</v>
      </c>
      <c r="W68">
        <v>5.4510959999999997E-2</v>
      </c>
    </row>
    <row r="69" spans="1:23" x14ac:dyDescent="0.2">
      <c r="A69" t="s">
        <v>161</v>
      </c>
      <c r="I69" t="s">
        <v>161</v>
      </c>
      <c r="Q69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2A86-2B43-884B-BE72-FB65FD2886C6}">
  <dimension ref="A1:T65"/>
  <sheetViews>
    <sheetView workbookViewId="0">
      <selection activeCell="A2" sqref="A2"/>
    </sheetView>
  </sheetViews>
  <sheetFormatPr baseColWidth="10" defaultRowHeight="16" x14ac:dyDescent="0.2"/>
  <cols>
    <col min="17" max="17" width="12.6640625" bestFit="1" customWidth="1"/>
  </cols>
  <sheetData>
    <row r="1" spans="1:20" s="10" customFormat="1" x14ac:dyDescent="0.2">
      <c r="A1" s="9" t="s">
        <v>231</v>
      </c>
    </row>
    <row r="2" spans="1:20" x14ac:dyDescent="0.2">
      <c r="A2" s="3" t="s">
        <v>230</v>
      </c>
      <c r="I2" s="3" t="s">
        <v>232</v>
      </c>
      <c r="R2" t="s">
        <v>83</v>
      </c>
      <c r="S2" t="s">
        <v>84</v>
      </c>
      <c r="T2" t="s">
        <v>85</v>
      </c>
    </row>
    <row r="3" spans="1:20" x14ac:dyDescent="0.2">
      <c r="A3" t="s">
        <v>75</v>
      </c>
      <c r="B3" s="4">
        <v>0.69450000000000001</v>
      </c>
      <c r="I3" t="s">
        <v>75</v>
      </c>
      <c r="J3" s="4">
        <v>0.67659999999999998</v>
      </c>
      <c r="Q3" t="s">
        <v>75</v>
      </c>
      <c r="R3" s="4">
        <f>'State GLM'!B36</f>
        <v>0.7016</v>
      </c>
      <c r="S3" s="4">
        <f>'State GLM'!J36</f>
        <v>0.67410000000000003</v>
      </c>
      <c r="T3" s="4">
        <f>'State GLM'!R36</f>
        <v>0.68069999999999997</v>
      </c>
    </row>
    <row r="5" spans="1:20" x14ac:dyDescent="0.2">
      <c r="B5" t="s">
        <v>154</v>
      </c>
      <c r="C5" t="s">
        <v>155</v>
      </c>
      <c r="D5" t="s">
        <v>71</v>
      </c>
      <c r="E5" t="s">
        <v>72</v>
      </c>
      <c r="F5" t="s">
        <v>73</v>
      </c>
      <c r="G5" t="s">
        <v>74</v>
      </c>
      <c r="J5" t="s">
        <v>154</v>
      </c>
      <c r="K5" t="s">
        <v>155</v>
      </c>
      <c r="L5" t="s">
        <v>71</v>
      </c>
      <c r="M5" t="s">
        <v>72</v>
      </c>
      <c r="N5" t="s">
        <v>73</v>
      </c>
      <c r="O5" t="s">
        <v>74</v>
      </c>
    </row>
    <row r="7" spans="1:20" x14ac:dyDescent="0.2">
      <c r="A7">
        <v>1</v>
      </c>
      <c r="B7" t="s">
        <v>0</v>
      </c>
      <c r="C7">
        <v>-0.49926382000000002</v>
      </c>
      <c r="D7">
        <v>0.95</v>
      </c>
      <c r="E7">
        <v>-0.54870454999999996</v>
      </c>
      <c r="F7">
        <v>-0.45086026000000001</v>
      </c>
      <c r="G7">
        <v>0.49926382000000002</v>
      </c>
      <c r="I7">
        <v>1</v>
      </c>
      <c r="J7" t="s">
        <v>0</v>
      </c>
      <c r="K7">
        <v>-0.57288766999999996</v>
      </c>
      <c r="L7">
        <v>0.95</v>
      </c>
      <c r="M7">
        <v>-0.61980766899999995</v>
      </c>
      <c r="N7">
        <v>-0.52685613399999998</v>
      </c>
      <c r="O7">
        <v>0.57288766999999996</v>
      </c>
    </row>
    <row r="8" spans="1:20" x14ac:dyDescent="0.2">
      <c r="A8">
        <v>2</v>
      </c>
      <c r="B8" t="s">
        <v>13</v>
      </c>
      <c r="C8">
        <v>0.40691532000000002</v>
      </c>
      <c r="D8">
        <v>0.95</v>
      </c>
      <c r="E8">
        <v>0.36523558</v>
      </c>
      <c r="F8">
        <v>0.44880424000000002</v>
      </c>
      <c r="G8">
        <v>0.40691532000000002</v>
      </c>
      <c r="I8">
        <v>2</v>
      </c>
      <c r="J8" t="s">
        <v>13</v>
      </c>
      <c r="K8">
        <v>0.36791525000000003</v>
      </c>
      <c r="L8">
        <v>0.95</v>
      </c>
      <c r="M8">
        <v>0.32634526200000002</v>
      </c>
      <c r="N8">
        <v>0.40967188599999999</v>
      </c>
      <c r="O8">
        <v>0.36791525000000003</v>
      </c>
    </row>
    <row r="9" spans="1:20" x14ac:dyDescent="0.2">
      <c r="A9">
        <v>3</v>
      </c>
      <c r="B9" t="s">
        <v>4</v>
      </c>
      <c r="C9">
        <v>-0.31672978000000002</v>
      </c>
      <c r="D9">
        <v>0.95</v>
      </c>
      <c r="E9">
        <v>-0.35680922999999998</v>
      </c>
      <c r="F9">
        <v>-0.27685089000000002</v>
      </c>
      <c r="G9">
        <v>0.31672978000000002</v>
      </c>
      <c r="I9">
        <v>3</v>
      </c>
      <c r="J9" t="s">
        <v>4</v>
      </c>
      <c r="K9">
        <v>-0.22586426000000001</v>
      </c>
      <c r="L9">
        <v>0.95</v>
      </c>
      <c r="M9">
        <v>-0.26442675599999999</v>
      </c>
      <c r="N9">
        <v>-0.187436716</v>
      </c>
      <c r="O9">
        <v>0.22586426000000001</v>
      </c>
    </row>
    <row r="10" spans="1:20" x14ac:dyDescent="0.2">
      <c r="A10">
        <v>4</v>
      </c>
      <c r="B10" t="s">
        <v>2</v>
      </c>
      <c r="C10">
        <v>0.20268148999999999</v>
      </c>
      <c r="D10">
        <v>0.95</v>
      </c>
      <c r="E10">
        <v>0.16105770999999999</v>
      </c>
      <c r="F10">
        <v>0.24509484000000001</v>
      </c>
      <c r="G10">
        <v>0.20268148999999999</v>
      </c>
      <c r="I10">
        <v>4</v>
      </c>
      <c r="J10" t="s">
        <v>5</v>
      </c>
      <c r="K10">
        <v>0.16565013000000001</v>
      </c>
      <c r="L10">
        <v>0.95</v>
      </c>
      <c r="M10">
        <v>0.126344335</v>
      </c>
      <c r="N10">
        <v>0.20533626799999999</v>
      </c>
      <c r="O10">
        <v>0.16565013000000001</v>
      </c>
    </row>
    <row r="11" spans="1:20" x14ac:dyDescent="0.2">
      <c r="A11">
        <v>5</v>
      </c>
      <c r="B11" t="s">
        <v>5</v>
      </c>
      <c r="C11">
        <v>0.19786975000000001</v>
      </c>
      <c r="D11">
        <v>0.95</v>
      </c>
      <c r="E11">
        <v>0.15880035000000001</v>
      </c>
      <c r="F11">
        <v>0.23724532000000001</v>
      </c>
      <c r="G11">
        <v>0.19786975000000001</v>
      </c>
      <c r="I11">
        <v>5</v>
      </c>
      <c r="J11" t="s">
        <v>2</v>
      </c>
      <c r="K11">
        <v>0.13018067</v>
      </c>
      <c r="L11">
        <v>0.95</v>
      </c>
      <c r="M11">
        <v>8.9411010999999999E-2</v>
      </c>
      <c r="N11">
        <v>0.172119303</v>
      </c>
      <c r="O11">
        <v>0.13018067</v>
      </c>
    </row>
    <row r="12" spans="1:20" x14ac:dyDescent="0.2">
      <c r="A12">
        <v>6</v>
      </c>
      <c r="B12" t="s">
        <v>79</v>
      </c>
      <c r="C12">
        <v>-0.11508599999999999</v>
      </c>
      <c r="D12">
        <v>0.95</v>
      </c>
      <c r="E12">
        <v>-0.15316196000000001</v>
      </c>
      <c r="F12">
        <v>-7.7074799999999999E-2</v>
      </c>
      <c r="G12">
        <v>0.11508599999999999</v>
      </c>
      <c r="I12">
        <v>6</v>
      </c>
      <c r="J12" t="s">
        <v>9</v>
      </c>
      <c r="K12">
        <v>-0.11435142</v>
      </c>
      <c r="L12">
        <v>0.95</v>
      </c>
      <c r="M12">
        <v>-0.15751706200000001</v>
      </c>
      <c r="N12">
        <v>-7.1228006999999996E-2</v>
      </c>
      <c r="O12">
        <v>0.11435142</v>
      </c>
    </row>
    <row r="13" spans="1:20" x14ac:dyDescent="0.2">
      <c r="A13">
        <v>7</v>
      </c>
      <c r="B13" t="s">
        <v>9</v>
      </c>
      <c r="C13">
        <v>-0.11301493999999999</v>
      </c>
      <c r="D13">
        <v>0.95</v>
      </c>
      <c r="E13">
        <v>-0.15739165999999999</v>
      </c>
      <c r="F13">
        <v>-6.8704849999999998E-2</v>
      </c>
      <c r="G13">
        <v>0.11301493999999999</v>
      </c>
      <c r="I13">
        <v>7</v>
      </c>
      <c r="J13" t="s">
        <v>1</v>
      </c>
      <c r="K13">
        <v>8.1864930000000002E-2</v>
      </c>
      <c r="L13">
        <v>0.95</v>
      </c>
      <c r="M13">
        <v>4.2432642E-2</v>
      </c>
      <c r="N13">
        <v>0.121427913</v>
      </c>
      <c r="O13">
        <v>8.1864930000000002E-2</v>
      </c>
    </row>
    <row r="14" spans="1:20" x14ac:dyDescent="0.2">
      <c r="A14">
        <v>8</v>
      </c>
      <c r="B14" t="s">
        <v>3</v>
      </c>
      <c r="C14">
        <v>-8.5936659999999998E-2</v>
      </c>
      <c r="D14">
        <v>0.95</v>
      </c>
      <c r="E14">
        <v>-0.12533987999999999</v>
      </c>
      <c r="F14">
        <v>-4.6816570000000002E-2</v>
      </c>
      <c r="G14">
        <v>8.5936659999999998E-2</v>
      </c>
      <c r="I14">
        <v>8</v>
      </c>
      <c r="J14" t="s">
        <v>79</v>
      </c>
      <c r="K14">
        <v>4.7502370000000002E-2</v>
      </c>
      <c r="L14">
        <v>0.95</v>
      </c>
      <c r="M14">
        <v>9.9010880000000006E-3</v>
      </c>
      <c r="N14">
        <v>8.5081974000000005E-2</v>
      </c>
      <c r="O14">
        <v>4.7502370000000002E-2</v>
      </c>
    </row>
    <row r="15" spans="1:20" x14ac:dyDescent="0.2">
      <c r="A15">
        <v>9</v>
      </c>
      <c r="B15" t="s">
        <v>1</v>
      </c>
      <c r="C15">
        <v>7.2104470000000004E-2</v>
      </c>
      <c r="D15">
        <v>0.95</v>
      </c>
      <c r="E15">
        <v>3.1299349999999997E-2</v>
      </c>
      <c r="F15">
        <v>0.11302553</v>
      </c>
      <c r="G15">
        <v>7.2104470000000004E-2</v>
      </c>
      <c r="I15">
        <v>9</v>
      </c>
      <c r="J15" t="s">
        <v>3</v>
      </c>
      <c r="K15">
        <v>-3.2148860000000001E-2</v>
      </c>
      <c r="L15">
        <v>0.95</v>
      </c>
      <c r="M15">
        <v>-7.0386749999999998E-2</v>
      </c>
      <c r="N15">
        <v>6.0104709999999999E-3</v>
      </c>
      <c r="O15">
        <v>3.2148860000000001E-2</v>
      </c>
    </row>
    <row r="16" spans="1:20" x14ac:dyDescent="0.2">
      <c r="A16" t="s">
        <v>159</v>
      </c>
      <c r="I16" t="s">
        <v>159</v>
      </c>
    </row>
    <row r="19" spans="1:20" s="10" customFormat="1" x14ac:dyDescent="0.2">
      <c r="A19" s="9" t="s">
        <v>235</v>
      </c>
    </row>
    <row r="20" spans="1:20" x14ac:dyDescent="0.2">
      <c r="A20" s="3" t="s">
        <v>230</v>
      </c>
      <c r="I20" s="3" t="s">
        <v>232</v>
      </c>
      <c r="R20" t="s">
        <v>83</v>
      </c>
      <c r="S20" t="s">
        <v>84</v>
      </c>
      <c r="T20" t="s">
        <v>85</v>
      </c>
    </row>
    <row r="21" spans="1:20" x14ac:dyDescent="0.2">
      <c r="A21" t="s">
        <v>75</v>
      </c>
      <c r="B21" s="4">
        <v>0.72370000000000001</v>
      </c>
      <c r="C21" s="4">
        <f>B21-B3</f>
        <v>2.9200000000000004E-2</v>
      </c>
      <c r="I21" t="s">
        <v>75</v>
      </c>
      <c r="J21" s="4">
        <v>0.71160000000000001</v>
      </c>
      <c r="K21" s="4">
        <f>J21-J3</f>
        <v>3.5000000000000031E-2</v>
      </c>
      <c r="Q21" t="s">
        <v>75</v>
      </c>
      <c r="R21" s="4">
        <f>'Combined GLM'!B54</f>
        <v>0.73309999999999997</v>
      </c>
      <c r="S21" s="4">
        <f>'Combined GLM'!J54</f>
        <v>0.69879999999999998</v>
      </c>
      <c r="T21" s="4">
        <f>'Combined GLM'!R54</f>
        <v>0.68989999999999996</v>
      </c>
    </row>
    <row r="22" spans="1:20" x14ac:dyDescent="0.2">
      <c r="Q22" t="s">
        <v>236</v>
      </c>
      <c r="R22" s="4">
        <f>R21-R3</f>
        <v>3.1499999999999972E-2</v>
      </c>
      <c r="S22" s="4">
        <f>S21-S3</f>
        <v>2.4699999999999944E-2</v>
      </c>
      <c r="T22" s="4">
        <f>T21-T3</f>
        <v>9.199999999999986E-3</v>
      </c>
    </row>
    <row r="23" spans="1:20" x14ac:dyDescent="0.2">
      <c r="B23" t="s">
        <v>154</v>
      </c>
      <c r="C23" t="s">
        <v>155</v>
      </c>
      <c r="D23" t="s">
        <v>71</v>
      </c>
      <c r="E23" t="s">
        <v>72</v>
      </c>
      <c r="F23" t="s">
        <v>73</v>
      </c>
      <c r="G23" t="s">
        <v>74</v>
      </c>
      <c r="J23" t="s">
        <v>154</v>
      </c>
      <c r="K23" t="s">
        <v>155</v>
      </c>
      <c r="L23" t="s">
        <v>71</v>
      </c>
      <c r="M23" t="s">
        <v>72</v>
      </c>
      <c r="N23" t="s">
        <v>73</v>
      </c>
      <c r="O23" t="s">
        <v>74</v>
      </c>
    </row>
    <row r="25" spans="1:20" x14ac:dyDescent="0.2">
      <c r="A25">
        <v>1</v>
      </c>
      <c r="B25" t="s">
        <v>0</v>
      </c>
      <c r="C25">
        <v>-0.85925037000000004</v>
      </c>
      <c r="D25">
        <v>0.95</v>
      </c>
      <c r="E25">
        <v>-0.93629337999999995</v>
      </c>
      <c r="F25">
        <v>-0.78394467000000001</v>
      </c>
      <c r="G25">
        <v>0.85925037000000004</v>
      </c>
      <c r="I25">
        <v>1</v>
      </c>
      <c r="J25" t="s">
        <v>0</v>
      </c>
      <c r="K25">
        <v>-0.99072459999999996</v>
      </c>
      <c r="L25">
        <v>0.95</v>
      </c>
      <c r="M25">
        <v>-1.0629152479999999</v>
      </c>
      <c r="N25">
        <v>-0.92010843399999998</v>
      </c>
      <c r="O25">
        <v>0.99072459999999996</v>
      </c>
    </row>
    <row r="26" spans="1:20" x14ac:dyDescent="0.2">
      <c r="A26">
        <v>2</v>
      </c>
      <c r="B26" t="s">
        <v>90</v>
      </c>
      <c r="C26">
        <v>0.53845719000000003</v>
      </c>
      <c r="D26">
        <v>0.95</v>
      </c>
      <c r="E26">
        <v>0.46791929999999998</v>
      </c>
      <c r="F26">
        <v>0.61079806000000003</v>
      </c>
      <c r="G26">
        <v>0.53845719000000003</v>
      </c>
      <c r="I26">
        <v>2</v>
      </c>
      <c r="J26" t="s">
        <v>90</v>
      </c>
      <c r="K26">
        <v>0.53317197999999999</v>
      </c>
      <c r="L26">
        <v>0.95</v>
      </c>
      <c r="M26">
        <v>0.46980975200000002</v>
      </c>
      <c r="N26">
        <v>0.59780593199999998</v>
      </c>
      <c r="O26">
        <v>0.53317197999999999</v>
      </c>
    </row>
    <row r="27" spans="1:20" x14ac:dyDescent="0.2">
      <c r="A27">
        <v>3</v>
      </c>
      <c r="B27" t="s">
        <v>13</v>
      </c>
      <c r="C27">
        <v>0.41361799999999999</v>
      </c>
      <c r="D27">
        <v>0.95</v>
      </c>
      <c r="E27">
        <v>0.36675813000000002</v>
      </c>
      <c r="F27">
        <v>0.46074189999999998</v>
      </c>
      <c r="G27">
        <v>0.41361799999999999</v>
      </c>
      <c r="I27">
        <v>3</v>
      </c>
      <c r="J27" t="s">
        <v>13</v>
      </c>
      <c r="K27">
        <v>0.37132334</v>
      </c>
      <c r="L27">
        <v>0.95</v>
      </c>
      <c r="M27">
        <v>0.32444788600000002</v>
      </c>
      <c r="N27">
        <v>0.41843419900000001</v>
      </c>
      <c r="O27">
        <v>0.37132334</v>
      </c>
    </row>
    <row r="28" spans="1:20" x14ac:dyDescent="0.2">
      <c r="A28">
        <v>4</v>
      </c>
      <c r="B28" t="s">
        <v>4</v>
      </c>
      <c r="C28">
        <v>-0.33119080000000001</v>
      </c>
      <c r="D28">
        <v>0.95</v>
      </c>
      <c r="E28">
        <v>-0.37730409999999998</v>
      </c>
      <c r="F28">
        <v>-0.28534369999999998</v>
      </c>
      <c r="G28">
        <v>0.33119080000000001</v>
      </c>
      <c r="I28">
        <v>4</v>
      </c>
      <c r="J28" t="s">
        <v>4</v>
      </c>
      <c r="K28">
        <v>-0.21385108999999999</v>
      </c>
      <c r="L28">
        <v>0.95</v>
      </c>
      <c r="M28">
        <v>-0.25779501300000002</v>
      </c>
      <c r="N28">
        <v>-0.17007303500000001</v>
      </c>
      <c r="O28">
        <v>0.21385108999999999</v>
      </c>
    </row>
    <row r="29" spans="1:20" x14ac:dyDescent="0.2">
      <c r="A29">
        <v>5</v>
      </c>
      <c r="B29" t="s">
        <v>79</v>
      </c>
      <c r="C29">
        <v>-0.32985120000000001</v>
      </c>
      <c r="D29">
        <v>0.95</v>
      </c>
      <c r="E29">
        <v>-0.37431776</v>
      </c>
      <c r="F29">
        <v>-0.28560142999999999</v>
      </c>
      <c r="G29">
        <v>0.32985120000000001</v>
      </c>
      <c r="I29">
        <v>5</v>
      </c>
      <c r="J29" t="s">
        <v>5</v>
      </c>
      <c r="K29">
        <v>0.15583140000000001</v>
      </c>
      <c r="L29">
        <v>0.95</v>
      </c>
      <c r="M29">
        <v>0.111687342</v>
      </c>
      <c r="N29">
        <v>0.200268311</v>
      </c>
      <c r="O29">
        <v>0.15583140000000001</v>
      </c>
    </row>
    <row r="30" spans="1:20" x14ac:dyDescent="0.2">
      <c r="A30">
        <v>6</v>
      </c>
      <c r="B30" t="s">
        <v>2</v>
      </c>
      <c r="C30">
        <v>0.20667895999999999</v>
      </c>
      <c r="D30">
        <v>0.95</v>
      </c>
      <c r="E30">
        <v>0.15964888999999999</v>
      </c>
      <c r="F30">
        <v>0.25460727</v>
      </c>
      <c r="G30">
        <v>0.20667895999999999</v>
      </c>
      <c r="I30">
        <v>6</v>
      </c>
      <c r="J30" t="s">
        <v>79</v>
      </c>
      <c r="K30">
        <v>-0.14668785000000001</v>
      </c>
      <c r="L30">
        <v>0.95</v>
      </c>
      <c r="M30">
        <v>-0.19028916600000001</v>
      </c>
      <c r="N30">
        <v>-0.103243898</v>
      </c>
      <c r="O30">
        <v>0.14668785000000001</v>
      </c>
    </row>
    <row r="31" spans="1:20" x14ac:dyDescent="0.2">
      <c r="A31">
        <v>7</v>
      </c>
      <c r="B31" t="s">
        <v>5</v>
      </c>
      <c r="C31">
        <v>0.16687646</v>
      </c>
      <c r="D31">
        <v>0.95</v>
      </c>
      <c r="E31">
        <v>0.12297928</v>
      </c>
      <c r="F31">
        <v>0.21084241000000001</v>
      </c>
      <c r="G31">
        <v>0.16687646</v>
      </c>
      <c r="I31">
        <v>7</v>
      </c>
      <c r="J31" t="s">
        <v>2</v>
      </c>
      <c r="K31">
        <v>8.5615269999999993E-2</v>
      </c>
      <c r="L31">
        <v>0.95</v>
      </c>
      <c r="M31">
        <v>4.1932751999999997E-2</v>
      </c>
      <c r="N31">
        <v>0.130230975</v>
      </c>
      <c r="O31">
        <v>8.5615269999999993E-2</v>
      </c>
    </row>
    <row r="32" spans="1:20" x14ac:dyDescent="0.2">
      <c r="A32">
        <v>8</v>
      </c>
      <c r="B32" t="s">
        <v>3</v>
      </c>
      <c r="C32">
        <v>-8.3138610000000002E-2</v>
      </c>
      <c r="D32">
        <v>0.95</v>
      </c>
      <c r="E32">
        <v>-0.12892491</v>
      </c>
      <c r="F32">
        <v>-3.782369E-2</v>
      </c>
      <c r="G32">
        <v>8.3138610000000002E-2</v>
      </c>
      <c r="I32">
        <v>8</v>
      </c>
      <c r="J32" t="s">
        <v>9</v>
      </c>
      <c r="K32">
        <v>-5.2446090000000001E-2</v>
      </c>
      <c r="L32">
        <v>0.95</v>
      </c>
      <c r="M32">
        <v>-0.101476593</v>
      </c>
      <c r="N32">
        <v>-3.433115E-3</v>
      </c>
      <c r="O32">
        <v>5.2446090000000001E-2</v>
      </c>
    </row>
    <row r="33" spans="1:20" x14ac:dyDescent="0.2">
      <c r="A33">
        <v>9</v>
      </c>
      <c r="B33" t="s">
        <v>9</v>
      </c>
      <c r="C33">
        <v>-7.0316539999999997E-2</v>
      </c>
      <c r="D33">
        <v>0.95</v>
      </c>
      <c r="E33">
        <v>-0.12068341</v>
      </c>
      <c r="F33">
        <v>-2.0021000000000001E-2</v>
      </c>
      <c r="G33">
        <v>7.0316539999999997E-2</v>
      </c>
      <c r="I33">
        <v>9</v>
      </c>
      <c r="J33" t="s">
        <v>1</v>
      </c>
      <c r="K33">
        <v>4.3717770000000003E-2</v>
      </c>
      <c r="L33">
        <v>0.95</v>
      </c>
      <c r="M33">
        <v>-9.5445100000000004E-4</v>
      </c>
      <c r="N33">
        <v>8.8481951000000003E-2</v>
      </c>
      <c r="O33">
        <v>4.3717770000000003E-2</v>
      </c>
    </row>
    <row r="34" spans="1:20" x14ac:dyDescent="0.2">
      <c r="A34">
        <v>10</v>
      </c>
      <c r="B34" t="s">
        <v>1</v>
      </c>
      <c r="C34">
        <v>6.3221990000000006E-2</v>
      </c>
      <c r="D34">
        <v>0.95</v>
      </c>
      <c r="E34">
        <v>1.621767E-2</v>
      </c>
      <c r="F34">
        <v>0.11027869999999999</v>
      </c>
      <c r="G34">
        <v>6.3221990000000006E-2</v>
      </c>
      <c r="I34">
        <v>10</v>
      </c>
      <c r="J34" t="s">
        <v>3</v>
      </c>
      <c r="K34">
        <v>-2.0388529999999998E-2</v>
      </c>
      <c r="L34">
        <v>0.95</v>
      </c>
      <c r="M34">
        <v>-6.4472979E-2</v>
      </c>
      <c r="N34">
        <v>2.3559337E-2</v>
      </c>
      <c r="O34">
        <v>2.0388529999999998E-2</v>
      </c>
    </row>
    <row r="35" spans="1:20" x14ac:dyDescent="0.2">
      <c r="A35" t="s">
        <v>161</v>
      </c>
      <c r="I35" t="s">
        <v>161</v>
      </c>
    </row>
    <row r="37" spans="1:20" s="10" customFormat="1" x14ac:dyDescent="0.2">
      <c r="A37" s="9" t="s">
        <v>233</v>
      </c>
    </row>
    <row r="38" spans="1:20" x14ac:dyDescent="0.2">
      <c r="A38" s="3" t="s">
        <v>230</v>
      </c>
      <c r="I38" s="3" t="s">
        <v>232</v>
      </c>
      <c r="R38" t="s">
        <v>83</v>
      </c>
      <c r="S38" t="s">
        <v>84</v>
      </c>
      <c r="T38" t="s">
        <v>85</v>
      </c>
    </row>
    <row r="39" spans="1:20" x14ac:dyDescent="0.2">
      <c r="A39" t="s">
        <v>75</v>
      </c>
      <c r="B39" s="4">
        <v>0.65759999999999996</v>
      </c>
      <c r="I39" t="s">
        <v>75</v>
      </c>
      <c r="J39" s="4">
        <v>0.63009999999999999</v>
      </c>
      <c r="Q39" t="s">
        <v>75</v>
      </c>
      <c r="R39" s="4">
        <f>'State GLM'!B103</f>
        <v>0.69779999999999998</v>
      </c>
      <c r="S39" s="4">
        <f>'State GLM'!J103</f>
        <v>0.65490000000000004</v>
      </c>
      <c r="T39" s="4">
        <f>'State GLM'!R103</f>
        <v>0.65800000000000003</v>
      </c>
    </row>
    <row r="41" spans="1:20" x14ac:dyDescent="0.2">
      <c r="B41" t="s">
        <v>154</v>
      </c>
      <c r="C41" t="s">
        <v>155</v>
      </c>
      <c r="D41" t="s">
        <v>71</v>
      </c>
      <c r="E41" t="s">
        <v>72</v>
      </c>
      <c r="F41" t="s">
        <v>73</v>
      </c>
      <c r="G41" t="s">
        <v>74</v>
      </c>
      <c r="J41" t="s">
        <v>154</v>
      </c>
      <c r="K41" t="s">
        <v>155</v>
      </c>
      <c r="L41" t="s">
        <v>71</v>
      </c>
      <c r="M41" t="s">
        <v>72</v>
      </c>
      <c r="N41" t="s">
        <v>73</v>
      </c>
      <c r="O41" t="s">
        <v>74</v>
      </c>
    </row>
    <row r="43" spans="1:20" x14ac:dyDescent="0.2">
      <c r="A43">
        <v>1</v>
      </c>
      <c r="B43" t="s">
        <v>0</v>
      </c>
      <c r="C43">
        <v>-0.50871180000000005</v>
      </c>
      <c r="D43">
        <v>0.95</v>
      </c>
      <c r="E43">
        <v>-0.55676541999999996</v>
      </c>
      <c r="F43">
        <v>-0.46170558</v>
      </c>
      <c r="G43">
        <v>0.50871180000000005</v>
      </c>
      <c r="I43">
        <v>1</v>
      </c>
      <c r="J43" t="s">
        <v>0</v>
      </c>
      <c r="K43">
        <v>-0.56432170000000004</v>
      </c>
      <c r="L43">
        <v>0.95</v>
      </c>
      <c r="M43">
        <v>-0.61042545999999998</v>
      </c>
      <c r="N43">
        <v>-0.51914404000000003</v>
      </c>
      <c r="O43">
        <v>0.56432170000000004</v>
      </c>
    </row>
    <row r="44" spans="1:20" x14ac:dyDescent="0.2">
      <c r="A44">
        <v>2</v>
      </c>
      <c r="B44" t="s">
        <v>4</v>
      </c>
      <c r="C44">
        <v>-0.23830485000000001</v>
      </c>
      <c r="D44">
        <v>0.95</v>
      </c>
      <c r="E44">
        <v>-0.27629752000000002</v>
      </c>
      <c r="F44">
        <v>-0.20045219</v>
      </c>
      <c r="G44">
        <v>0.23830485000000001</v>
      </c>
      <c r="I44">
        <v>2</v>
      </c>
      <c r="J44" t="s">
        <v>4</v>
      </c>
      <c r="K44">
        <v>-0.15734899999999999</v>
      </c>
      <c r="L44">
        <v>0.95</v>
      </c>
      <c r="M44">
        <v>-0.19443526</v>
      </c>
      <c r="N44">
        <v>-0.12036091</v>
      </c>
      <c r="O44">
        <v>0.15734899999999999</v>
      </c>
    </row>
    <row r="45" spans="1:20" x14ac:dyDescent="0.2">
      <c r="A45">
        <v>3</v>
      </c>
      <c r="B45" t="s">
        <v>2</v>
      </c>
      <c r="C45">
        <v>0.18979515999999999</v>
      </c>
      <c r="D45">
        <v>0.95</v>
      </c>
      <c r="E45">
        <v>0.14947782000000001</v>
      </c>
      <c r="F45">
        <v>0.23102362000000001</v>
      </c>
      <c r="G45">
        <v>0.18979515999999999</v>
      </c>
      <c r="I45">
        <v>3</v>
      </c>
      <c r="J45" t="s">
        <v>2</v>
      </c>
      <c r="K45">
        <v>0.10980570000000001</v>
      </c>
      <c r="L45">
        <v>0.95</v>
      </c>
      <c r="M45">
        <v>7.041356E-2</v>
      </c>
      <c r="N45">
        <v>0.15031847000000001</v>
      </c>
      <c r="O45">
        <v>0.10980570000000001</v>
      </c>
    </row>
    <row r="46" spans="1:20" x14ac:dyDescent="0.2">
      <c r="A46">
        <v>4</v>
      </c>
      <c r="B46" t="s">
        <v>3</v>
      </c>
      <c r="C46">
        <v>-0.11110196</v>
      </c>
      <c r="D46">
        <v>0.95</v>
      </c>
      <c r="E46">
        <v>-0.14940049</v>
      </c>
      <c r="F46">
        <v>-7.3087429999999995E-2</v>
      </c>
      <c r="G46">
        <v>0.11110196</v>
      </c>
      <c r="I46">
        <v>4</v>
      </c>
      <c r="J46" t="s">
        <v>1</v>
      </c>
      <c r="K46">
        <v>8.5998260000000007E-2</v>
      </c>
      <c r="L46">
        <v>0.95</v>
      </c>
      <c r="M46">
        <v>4.8652019999999997E-2</v>
      </c>
      <c r="N46">
        <v>0.12349723</v>
      </c>
      <c r="O46">
        <v>8.5998260000000007E-2</v>
      </c>
    </row>
    <row r="47" spans="1:20" x14ac:dyDescent="0.2">
      <c r="A47">
        <v>5</v>
      </c>
      <c r="B47" t="s">
        <v>79</v>
      </c>
      <c r="C47">
        <v>-0.10678383</v>
      </c>
      <c r="D47">
        <v>0.95</v>
      </c>
      <c r="E47">
        <v>-0.14373821000000001</v>
      </c>
      <c r="F47">
        <v>-6.9888720000000001E-2</v>
      </c>
      <c r="G47">
        <v>0.10678383</v>
      </c>
      <c r="I47">
        <v>5</v>
      </c>
      <c r="J47" t="s">
        <v>79</v>
      </c>
      <c r="K47">
        <v>5.1912640000000003E-2</v>
      </c>
      <c r="L47">
        <v>0.95</v>
      </c>
      <c r="M47">
        <v>1.5085930000000001E-2</v>
      </c>
      <c r="N47">
        <v>8.8715939999999993E-2</v>
      </c>
      <c r="O47">
        <v>5.1912640000000003E-2</v>
      </c>
    </row>
    <row r="48" spans="1:20" x14ac:dyDescent="0.2">
      <c r="A48">
        <v>6</v>
      </c>
      <c r="B48" t="s">
        <v>1</v>
      </c>
      <c r="C48">
        <v>2.7205920000000001E-2</v>
      </c>
      <c r="D48">
        <v>0.95</v>
      </c>
      <c r="E48">
        <v>-1.037135E-2</v>
      </c>
      <c r="F48">
        <v>6.4986160000000001E-2</v>
      </c>
      <c r="G48">
        <v>2.7205920000000001E-2</v>
      </c>
      <c r="I48">
        <v>6</v>
      </c>
      <c r="J48" t="s">
        <v>3</v>
      </c>
      <c r="K48">
        <v>-4.7368399999999998E-2</v>
      </c>
      <c r="L48">
        <v>0.95</v>
      </c>
      <c r="M48">
        <v>-8.4791870000000005E-2</v>
      </c>
      <c r="N48">
        <v>-1.0025910000000001E-2</v>
      </c>
      <c r="O48">
        <v>4.7368399999999998E-2</v>
      </c>
    </row>
    <row r="49" spans="1:20" x14ac:dyDescent="0.2">
      <c r="A49" t="s">
        <v>228</v>
      </c>
      <c r="I49" t="s">
        <v>228</v>
      </c>
    </row>
    <row r="52" spans="1:20" s="10" customFormat="1" x14ac:dyDescent="0.2">
      <c r="A52" s="9" t="s">
        <v>234</v>
      </c>
    </row>
    <row r="53" spans="1:20" x14ac:dyDescent="0.2">
      <c r="A53" s="3" t="s">
        <v>230</v>
      </c>
      <c r="I53" s="3" t="s">
        <v>232</v>
      </c>
      <c r="R53" t="s">
        <v>83</v>
      </c>
      <c r="S53" t="s">
        <v>84</v>
      </c>
      <c r="T53" t="s">
        <v>85</v>
      </c>
    </row>
    <row r="54" spans="1:20" x14ac:dyDescent="0.2">
      <c r="A54" t="s">
        <v>75</v>
      </c>
      <c r="B54" s="4">
        <v>0.69550000000000001</v>
      </c>
      <c r="C54" s="4">
        <f>B54-B39</f>
        <v>3.7900000000000045E-2</v>
      </c>
      <c r="I54" t="s">
        <v>75</v>
      </c>
      <c r="J54" s="4">
        <v>0.6673</v>
      </c>
      <c r="K54" s="4">
        <f>J54-J39</f>
        <v>3.7200000000000011E-2</v>
      </c>
      <c r="Q54" t="s">
        <v>75</v>
      </c>
      <c r="R54" s="4">
        <f>'Combined GLM'!B36</f>
        <v>0.73260000000000003</v>
      </c>
      <c r="S54" s="4">
        <f>'Combined GLM'!J36</f>
        <v>0.68049999999999999</v>
      </c>
      <c r="T54" s="4">
        <f>'Combined GLM'!R36</f>
        <v>0.68010000000000004</v>
      </c>
    </row>
    <row r="55" spans="1:20" x14ac:dyDescent="0.2">
      <c r="Q55" t="s">
        <v>236</v>
      </c>
      <c r="R55" s="4">
        <f>R54-R39</f>
        <v>3.4800000000000053E-2</v>
      </c>
      <c r="S55" s="4">
        <f>S54-S39</f>
        <v>2.5599999999999956E-2</v>
      </c>
      <c r="T55" s="4">
        <f>T54-T39</f>
        <v>2.2100000000000009E-2</v>
      </c>
    </row>
    <row r="56" spans="1:20" x14ac:dyDescent="0.2">
      <c r="B56" t="s">
        <v>154</v>
      </c>
      <c r="C56" t="s">
        <v>155</v>
      </c>
      <c r="D56" t="s">
        <v>71</v>
      </c>
      <c r="E56" t="s">
        <v>72</v>
      </c>
      <c r="F56" t="s">
        <v>73</v>
      </c>
      <c r="G56" t="s">
        <v>74</v>
      </c>
      <c r="J56" t="s">
        <v>154</v>
      </c>
      <c r="K56" t="s">
        <v>155</v>
      </c>
      <c r="L56" t="s">
        <v>71</v>
      </c>
      <c r="M56" t="s">
        <v>72</v>
      </c>
      <c r="N56" t="s">
        <v>73</v>
      </c>
      <c r="O56" t="s">
        <v>74</v>
      </c>
    </row>
    <row r="58" spans="1:20" x14ac:dyDescent="0.2">
      <c r="A58">
        <v>1</v>
      </c>
      <c r="B58" t="s">
        <v>0</v>
      </c>
      <c r="C58">
        <v>-0.85193637499999997</v>
      </c>
      <c r="D58">
        <v>0.95</v>
      </c>
      <c r="E58">
        <v>-0.92660043000000003</v>
      </c>
      <c r="F58">
        <v>-0.77896942999999996</v>
      </c>
      <c r="G58">
        <v>0.85193637499999997</v>
      </c>
      <c r="I58">
        <v>1</v>
      </c>
      <c r="J58" t="s">
        <v>0</v>
      </c>
      <c r="K58">
        <v>-0.96551297999999997</v>
      </c>
      <c r="L58">
        <v>0.95</v>
      </c>
      <c r="M58">
        <v>-1.0364026500000001</v>
      </c>
      <c r="N58">
        <v>-0.89621101700000005</v>
      </c>
      <c r="O58">
        <v>0.96551297999999997</v>
      </c>
    </row>
    <row r="59" spans="1:20" x14ac:dyDescent="0.2">
      <c r="A59">
        <v>2</v>
      </c>
      <c r="B59" t="s">
        <v>90</v>
      </c>
      <c r="C59">
        <v>0.52443389600000001</v>
      </c>
      <c r="D59">
        <v>0.95</v>
      </c>
      <c r="E59">
        <v>0.45584334999999998</v>
      </c>
      <c r="F59">
        <v>0.59476688</v>
      </c>
      <c r="G59">
        <v>0.52443389600000001</v>
      </c>
      <c r="I59">
        <v>2</v>
      </c>
      <c r="J59" t="s">
        <v>90</v>
      </c>
      <c r="K59">
        <v>0.54396137</v>
      </c>
      <c r="L59">
        <v>0.95</v>
      </c>
      <c r="M59">
        <v>0.48081709</v>
      </c>
      <c r="N59">
        <v>0.608420407</v>
      </c>
      <c r="O59">
        <v>0.54396137</v>
      </c>
    </row>
    <row r="60" spans="1:20" x14ac:dyDescent="0.2">
      <c r="A60">
        <v>3</v>
      </c>
      <c r="B60" t="s">
        <v>79</v>
      </c>
      <c r="C60">
        <v>-0.31337405499999998</v>
      </c>
      <c r="D60">
        <v>0.95</v>
      </c>
      <c r="E60">
        <v>-0.35648851999999998</v>
      </c>
      <c r="F60">
        <v>-0.27045571000000002</v>
      </c>
      <c r="G60">
        <v>0.31337405499999998</v>
      </c>
      <c r="I60">
        <v>3</v>
      </c>
      <c r="J60" t="s">
        <v>4</v>
      </c>
      <c r="K60">
        <v>-0.14323230000000001</v>
      </c>
      <c r="L60">
        <v>0.95</v>
      </c>
      <c r="M60">
        <v>-0.18539950999999999</v>
      </c>
      <c r="N60">
        <v>-0.101179011</v>
      </c>
      <c r="O60">
        <v>0.14323230000000001</v>
      </c>
    </row>
    <row r="61" spans="1:20" x14ac:dyDescent="0.2">
      <c r="A61">
        <v>4</v>
      </c>
      <c r="B61" t="s">
        <v>4</v>
      </c>
      <c r="C61">
        <v>-0.26094258199999998</v>
      </c>
      <c r="D61">
        <v>0.95</v>
      </c>
      <c r="E61">
        <v>-0.30475645000000001</v>
      </c>
      <c r="F61">
        <v>-0.21732277999999999</v>
      </c>
      <c r="G61">
        <v>0.26094258199999998</v>
      </c>
      <c r="I61">
        <v>4</v>
      </c>
      <c r="J61" t="s">
        <v>79</v>
      </c>
      <c r="K61">
        <v>-0.13886536999999999</v>
      </c>
      <c r="L61">
        <v>0.95</v>
      </c>
      <c r="M61">
        <v>-0.18159431000000001</v>
      </c>
      <c r="N61">
        <v>-9.6288978999999997E-2</v>
      </c>
      <c r="O61">
        <v>0.13886536999999999</v>
      </c>
    </row>
    <row r="62" spans="1:20" x14ac:dyDescent="0.2">
      <c r="A62">
        <v>5</v>
      </c>
      <c r="B62" t="s">
        <v>2</v>
      </c>
      <c r="C62">
        <v>0.21645208599999999</v>
      </c>
      <c r="D62">
        <v>0.95</v>
      </c>
      <c r="E62">
        <v>0.17108835999999999</v>
      </c>
      <c r="F62">
        <v>0.26288951999999999</v>
      </c>
      <c r="G62">
        <v>0.21645208599999999</v>
      </c>
      <c r="I62">
        <v>5</v>
      </c>
      <c r="J62" t="s">
        <v>2</v>
      </c>
      <c r="K62">
        <v>6.6269049999999996E-2</v>
      </c>
      <c r="L62">
        <v>0.95</v>
      </c>
      <c r="M62">
        <v>2.3981800000000001E-2</v>
      </c>
      <c r="N62">
        <v>0.10947624</v>
      </c>
      <c r="O62">
        <v>6.6269049999999996E-2</v>
      </c>
    </row>
    <row r="63" spans="1:20" x14ac:dyDescent="0.2">
      <c r="A63">
        <v>6</v>
      </c>
      <c r="B63" t="s">
        <v>3</v>
      </c>
      <c r="C63">
        <v>-0.11002246</v>
      </c>
      <c r="D63">
        <v>0.95</v>
      </c>
      <c r="E63">
        <v>-0.15461868000000001</v>
      </c>
      <c r="F63">
        <v>-6.5892199999999998E-2</v>
      </c>
      <c r="G63">
        <v>0.11002246</v>
      </c>
      <c r="I63">
        <v>6</v>
      </c>
      <c r="J63" t="s">
        <v>3</v>
      </c>
      <c r="K63">
        <v>-3.4532300000000002E-2</v>
      </c>
      <c r="L63">
        <v>0.95</v>
      </c>
      <c r="M63">
        <v>-7.7740879999999998E-2</v>
      </c>
      <c r="N63">
        <v>8.5420180000000002E-3</v>
      </c>
      <c r="O63">
        <v>3.4532300000000002E-2</v>
      </c>
    </row>
    <row r="64" spans="1:20" x14ac:dyDescent="0.2">
      <c r="A64">
        <v>7</v>
      </c>
      <c r="B64" t="s">
        <v>1</v>
      </c>
      <c r="C64">
        <v>-2.7335670000000001E-3</v>
      </c>
      <c r="D64">
        <v>0.95</v>
      </c>
      <c r="E64">
        <v>-4.5540280000000002E-2</v>
      </c>
      <c r="F64">
        <v>4.0220489999999998E-2</v>
      </c>
      <c r="G64">
        <v>2.7335670000000001E-3</v>
      </c>
      <c r="I64">
        <v>7</v>
      </c>
      <c r="J64" t="s">
        <v>1</v>
      </c>
      <c r="K64">
        <v>2.689795E-2</v>
      </c>
      <c r="L64">
        <v>0.95</v>
      </c>
      <c r="M64">
        <v>-1.4971470000000001E-2</v>
      </c>
      <c r="N64">
        <v>6.8861830999999998E-2</v>
      </c>
      <c r="O64">
        <v>2.689795E-2</v>
      </c>
    </row>
    <row r="65" spans="1:9" x14ac:dyDescent="0.2">
      <c r="A65" t="s">
        <v>226</v>
      </c>
      <c r="I65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3243-199E-4D4C-B45D-5293F9BDEFE1}">
  <dimension ref="A1:Z39"/>
  <sheetViews>
    <sheetView workbookViewId="0">
      <selection activeCell="J9" sqref="J9"/>
    </sheetView>
  </sheetViews>
  <sheetFormatPr baseColWidth="10" defaultRowHeight="16" x14ac:dyDescent="0.2"/>
  <cols>
    <col min="1" max="1" width="10" customWidth="1"/>
  </cols>
  <sheetData>
    <row r="1" spans="1:26" x14ac:dyDescent="0.2">
      <c r="A1" s="3" t="s">
        <v>230</v>
      </c>
      <c r="G1" s="3" t="s">
        <v>232</v>
      </c>
      <c r="M1" s="3" t="s">
        <v>83</v>
      </c>
      <c r="S1" s="3" t="s">
        <v>84</v>
      </c>
      <c r="Y1" s="3" t="s">
        <v>85</v>
      </c>
    </row>
    <row r="4" spans="1:26" x14ac:dyDescent="0.2">
      <c r="A4" t="s">
        <v>261</v>
      </c>
      <c r="B4">
        <v>4295</v>
      </c>
      <c r="G4" t="s">
        <v>261</v>
      </c>
      <c r="H4">
        <v>4975</v>
      </c>
      <c r="M4" t="s">
        <v>261</v>
      </c>
      <c r="N4">
        <v>7605</v>
      </c>
      <c r="S4" t="s">
        <v>261</v>
      </c>
      <c r="T4">
        <v>6965</v>
      </c>
      <c r="Y4" t="s">
        <v>261</v>
      </c>
      <c r="Z4">
        <v>8745</v>
      </c>
    </row>
    <row r="5" spans="1:26" x14ac:dyDescent="0.2">
      <c r="A5" t="s">
        <v>262</v>
      </c>
      <c r="B5">
        <v>418</v>
      </c>
      <c r="G5" t="s">
        <v>262</v>
      </c>
      <c r="H5">
        <v>376</v>
      </c>
      <c r="M5" t="s">
        <v>262</v>
      </c>
      <c r="N5">
        <v>274</v>
      </c>
      <c r="S5" t="s">
        <v>262</v>
      </c>
      <c r="T5">
        <v>244</v>
      </c>
      <c r="Y5" t="s">
        <v>262</v>
      </c>
      <c r="Z5">
        <v>134</v>
      </c>
    </row>
    <row r="6" spans="1:26" x14ac:dyDescent="0.2">
      <c r="A6" t="s">
        <v>263</v>
      </c>
      <c r="B6">
        <v>753</v>
      </c>
      <c r="G6" t="s">
        <v>263</v>
      </c>
      <c r="H6">
        <v>651</v>
      </c>
      <c r="M6" t="s">
        <v>263</v>
      </c>
      <c r="N6">
        <v>528</v>
      </c>
      <c r="S6" t="s">
        <v>263</v>
      </c>
      <c r="T6">
        <v>300</v>
      </c>
      <c r="Y6" t="s">
        <v>263</v>
      </c>
      <c r="Z6">
        <v>171</v>
      </c>
    </row>
    <row r="7" spans="1:26" x14ac:dyDescent="0.2">
      <c r="A7" t="s">
        <v>264</v>
      </c>
      <c r="B7">
        <v>856</v>
      </c>
      <c r="G7" t="s">
        <v>264</v>
      </c>
      <c r="H7">
        <v>880</v>
      </c>
      <c r="M7" t="s">
        <v>264</v>
      </c>
      <c r="N7">
        <v>540</v>
      </c>
      <c r="S7" t="s">
        <v>264</v>
      </c>
      <c r="T7">
        <v>280</v>
      </c>
      <c r="Y7" t="s">
        <v>264</v>
      </c>
      <c r="Z7">
        <v>296</v>
      </c>
    </row>
    <row r="8" spans="1:26" x14ac:dyDescent="0.2">
      <c r="A8" t="s">
        <v>265</v>
      </c>
      <c r="B8">
        <v>435</v>
      </c>
      <c r="G8" t="s">
        <v>265</v>
      </c>
      <c r="H8">
        <v>270</v>
      </c>
      <c r="M8" t="s">
        <v>265</v>
      </c>
      <c r="N8">
        <v>285</v>
      </c>
      <c r="S8" t="s">
        <v>265</v>
      </c>
      <c r="T8">
        <v>130</v>
      </c>
      <c r="Y8" t="s">
        <v>265</v>
      </c>
      <c r="Z8">
        <v>195</v>
      </c>
    </row>
    <row r="11" spans="1:26" x14ac:dyDescent="0.2">
      <c r="A11" t="s">
        <v>237</v>
      </c>
      <c r="G11" t="s">
        <v>237</v>
      </c>
      <c r="M11" t="s">
        <v>237</v>
      </c>
      <c r="S11" t="s">
        <v>237</v>
      </c>
      <c r="Y11" t="s">
        <v>237</v>
      </c>
    </row>
    <row r="12" spans="1:26" x14ac:dyDescent="0.2">
      <c r="A12" t="s">
        <v>238</v>
      </c>
      <c r="G12" t="s">
        <v>238</v>
      </c>
      <c r="M12" t="s">
        <v>238</v>
      </c>
      <c r="S12" t="s">
        <v>238</v>
      </c>
      <c r="Y12" t="s">
        <v>238</v>
      </c>
    </row>
    <row r="14" spans="1:26" x14ac:dyDescent="0.2">
      <c r="A14" t="s">
        <v>239</v>
      </c>
      <c r="G14" t="s">
        <v>239</v>
      </c>
      <c r="M14" t="s">
        <v>239</v>
      </c>
      <c r="S14" t="s">
        <v>239</v>
      </c>
      <c r="Y14" t="s">
        <v>239</v>
      </c>
    </row>
    <row r="15" spans="1:26" x14ac:dyDescent="0.2">
      <c r="A15" t="s">
        <v>240</v>
      </c>
      <c r="G15" t="s">
        <v>240</v>
      </c>
      <c r="M15" t="s">
        <v>240</v>
      </c>
      <c r="S15" t="s">
        <v>240</v>
      </c>
      <c r="Y15" t="s">
        <v>240</v>
      </c>
    </row>
    <row r="16" spans="1:26" x14ac:dyDescent="0.2">
      <c r="A16" t="s">
        <v>241</v>
      </c>
      <c r="G16" t="s">
        <v>266</v>
      </c>
      <c r="M16" t="s">
        <v>282</v>
      </c>
      <c r="S16" t="s">
        <v>298</v>
      </c>
      <c r="Y16" t="s">
        <v>313</v>
      </c>
    </row>
    <row r="18" spans="1:25" x14ac:dyDescent="0.2">
      <c r="A18" t="s">
        <v>242</v>
      </c>
      <c r="G18" t="s">
        <v>242</v>
      </c>
      <c r="M18" t="s">
        <v>242</v>
      </c>
      <c r="S18" t="s">
        <v>242</v>
      </c>
      <c r="Y18" t="s">
        <v>242</v>
      </c>
    </row>
    <row r="19" spans="1:25" x14ac:dyDescent="0.2">
      <c r="A19" t="s">
        <v>243</v>
      </c>
      <c r="G19" t="s">
        <v>267</v>
      </c>
      <c r="M19" t="s">
        <v>283</v>
      </c>
      <c r="S19" t="s">
        <v>243</v>
      </c>
      <c r="Y19" t="s">
        <v>243</v>
      </c>
    </row>
    <row r="20" spans="1:25" x14ac:dyDescent="0.2">
      <c r="A20" t="s">
        <v>244</v>
      </c>
      <c r="G20" t="s">
        <v>268</v>
      </c>
      <c r="M20" t="s">
        <v>284</v>
      </c>
      <c r="S20" t="s">
        <v>299</v>
      </c>
      <c r="Y20" t="s">
        <v>314</v>
      </c>
    </row>
    <row r="21" spans="1:25" x14ac:dyDescent="0.2">
      <c r="A21" t="s">
        <v>245</v>
      </c>
      <c r="G21" t="s">
        <v>269</v>
      </c>
      <c r="M21" t="s">
        <v>285</v>
      </c>
      <c r="S21" t="s">
        <v>300</v>
      </c>
      <c r="Y21" t="s">
        <v>315</v>
      </c>
    </row>
    <row r="22" spans="1:25" x14ac:dyDescent="0.2">
      <c r="A22" t="s">
        <v>246</v>
      </c>
      <c r="G22" t="s">
        <v>270</v>
      </c>
      <c r="M22" t="s">
        <v>286</v>
      </c>
      <c r="S22" t="s">
        <v>301</v>
      </c>
      <c r="Y22" t="s">
        <v>316</v>
      </c>
    </row>
    <row r="23" spans="1:25" x14ac:dyDescent="0.2">
      <c r="A23" t="s">
        <v>247</v>
      </c>
      <c r="G23" t="s">
        <v>271</v>
      </c>
      <c r="M23" t="s">
        <v>287</v>
      </c>
      <c r="S23" t="s">
        <v>302</v>
      </c>
      <c r="Y23" t="s">
        <v>317</v>
      </c>
    </row>
    <row r="24" spans="1:25" x14ac:dyDescent="0.2">
      <c r="A24" t="s">
        <v>248</v>
      </c>
      <c r="G24" t="s">
        <v>272</v>
      </c>
      <c r="M24" t="s">
        <v>288</v>
      </c>
      <c r="S24" t="s">
        <v>303</v>
      </c>
      <c r="Y24" t="s">
        <v>318</v>
      </c>
    </row>
    <row r="25" spans="1:25" x14ac:dyDescent="0.2">
      <c r="A25" t="s">
        <v>249</v>
      </c>
      <c r="G25" t="s">
        <v>273</v>
      </c>
      <c r="M25" t="s">
        <v>289</v>
      </c>
      <c r="S25" t="s">
        <v>304</v>
      </c>
      <c r="Y25" t="s">
        <v>319</v>
      </c>
    </row>
    <row r="26" spans="1:25" x14ac:dyDescent="0.2">
      <c r="A26" t="s">
        <v>250</v>
      </c>
      <c r="G26" t="s">
        <v>274</v>
      </c>
      <c r="M26" t="s">
        <v>290</v>
      </c>
      <c r="S26" t="s">
        <v>305</v>
      </c>
      <c r="Y26" t="s">
        <v>320</v>
      </c>
    </row>
    <row r="27" spans="1:25" x14ac:dyDescent="0.2">
      <c r="A27" t="s">
        <v>251</v>
      </c>
      <c r="G27" t="s">
        <v>275</v>
      </c>
      <c r="M27" t="s">
        <v>291</v>
      </c>
      <c r="S27" t="s">
        <v>306</v>
      </c>
      <c r="Y27" t="s">
        <v>321</v>
      </c>
    </row>
    <row r="28" spans="1:25" x14ac:dyDescent="0.2">
      <c r="A28" t="s">
        <v>252</v>
      </c>
      <c r="G28" t="s">
        <v>276</v>
      </c>
      <c r="M28" t="s">
        <v>292</v>
      </c>
      <c r="S28" t="s">
        <v>307</v>
      </c>
      <c r="Y28" t="s">
        <v>322</v>
      </c>
    </row>
    <row r="29" spans="1:25" x14ac:dyDescent="0.2">
      <c r="A29" t="s">
        <v>253</v>
      </c>
      <c r="G29" t="s">
        <v>277</v>
      </c>
      <c r="M29" t="s">
        <v>293</v>
      </c>
      <c r="S29" t="s">
        <v>308</v>
      </c>
      <c r="Y29" t="s">
        <v>323</v>
      </c>
    </row>
    <row r="30" spans="1:25" x14ac:dyDescent="0.2">
      <c r="A30" t="s">
        <v>254</v>
      </c>
      <c r="G30" t="s">
        <v>254</v>
      </c>
      <c r="M30" t="s">
        <v>254</v>
      </c>
      <c r="S30" t="s">
        <v>254</v>
      </c>
      <c r="Y30" t="s">
        <v>254</v>
      </c>
    </row>
    <row r="31" spans="1:25" x14ac:dyDescent="0.2">
      <c r="A31" t="s">
        <v>255</v>
      </c>
      <c r="G31" t="s">
        <v>255</v>
      </c>
      <c r="M31" t="s">
        <v>255</v>
      </c>
      <c r="S31" t="s">
        <v>255</v>
      </c>
      <c r="Y31" t="s">
        <v>255</v>
      </c>
    </row>
    <row r="33" spans="1:25" x14ac:dyDescent="0.2">
      <c r="A33" t="s">
        <v>256</v>
      </c>
      <c r="G33" t="s">
        <v>278</v>
      </c>
      <c r="M33" t="s">
        <v>294</v>
      </c>
      <c r="S33" t="s">
        <v>309</v>
      </c>
      <c r="Y33" t="s">
        <v>324</v>
      </c>
    </row>
    <row r="35" spans="1:25" x14ac:dyDescent="0.2">
      <c r="A35" t="s">
        <v>257</v>
      </c>
      <c r="G35" t="s">
        <v>279</v>
      </c>
      <c r="M35" t="s">
        <v>295</v>
      </c>
      <c r="S35" t="s">
        <v>310</v>
      </c>
      <c r="Y35" t="s">
        <v>325</v>
      </c>
    </row>
    <row r="36" spans="1:25" x14ac:dyDescent="0.2">
      <c r="A36" t="s">
        <v>258</v>
      </c>
      <c r="G36" t="s">
        <v>280</v>
      </c>
      <c r="M36" t="s">
        <v>296</v>
      </c>
      <c r="S36" t="s">
        <v>311</v>
      </c>
      <c r="Y36" t="s">
        <v>326</v>
      </c>
    </row>
    <row r="37" spans="1:25" x14ac:dyDescent="0.2">
      <c r="A37" t="s">
        <v>259</v>
      </c>
      <c r="G37" t="s">
        <v>281</v>
      </c>
      <c r="M37" t="s">
        <v>297</v>
      </c>
      <c r="S37" t="s">
        <v>312</v>
      </c>
      <c r="Y37" t="s">
        <v>327</v>
      </c>
    </row>
    <row r="39" spans="1:25" x14ac:dyDescent="0.2">
      <c r="A39" t="s">
        <v>260</v>
      </c>
      <c r="G39" t="s">
        <v>260</v>
      </c>
      <c r="M39" t="s">
        <v>260</v>
      </c>
      <c r="S39" t="s">
        <v>260</v>
      </c>
      <c r="Y39" t="s">
        <v>260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728B-25FA-0E42-81C6-0B0EB3838E7E}">
  <dimension ref="A1:W65"/>
  <sheetViews>
    <sheetView workbookViewId="0">
      <selection activeCell="G30" sqref="G30"/>
    </sheetView>
  </sheetViews>
  <sheetFormatPr baseColWidth="10" defaultRowHeight="16" x14ac:dyDescent="0.2"/>
  <cols>
    <col min="1" max="1" width="6.6640625" bestFit="1" customWidth="1"/>
    <col min="2" max="2" width="5.33203125" bestFit="1" customWidth="1"/>
    <col min="3" max="3" width="10" bestFit="1" customWidth="1"/>
    <col min="4" max="4" width="12.1640625" bestFit="1" customWidth="1"/>
    <col min="5" max="5" width="11.1640625" bestFit="1" customWidth="1"/>
    <col min="6" max="6" width="22.6640625" bestFit="1" customWidth="1"/>
    <col min="7" max="7" width="17.1640625" bestFit="1" customWidth="1"/>
    <col min="9" max="9" width="6.33203125" bestFit="1" customWidth="1"/>
    <col min="10" max="10" width="5.33203125" bestFit="1" customWidth="1"/>
    <col min="11" max="11" width="10" bestFit="1" customWidth="1"/>
    <col min="12" max="13" width="10.1640625" bestFit="1" customWidth="1"/>
    <col min="14" max="14" width="22.6640625" bestFit="1" customWidth="1"/>
    <col min="15" max="15" width="17.1640625" bestFit="1" customWidth="1"/>
    <col min="18" max="18" width="5.33203125" bestFit="1" customWidth="1"/>
  </cols>
  <sheetData>
    <row r="1" spans="1:23" x14ac:dyDescent="0.2">
      <c r="A1" s="3" t="s">
        <v>77</v>
      </c>
      <c r="B1" s="3" t="s">
        <v>65</v>
      </c>
      <c r="C1" s="3" t="s">
        <v>66</v>
      </c>
      <c r="D1" s="3">
        <v>0</v>
      </c>
      <c r="E1" s="3">
        <v>1</v>
      </c>
      <c r="F1" s="3" t="s">
        <v>67</v>
      </c>
      <c r="G1" s="3" t="s">
        <v>68</v>
      </c>
      <c r="I1" s="3" t="s">
        <v>77</v>
      </c>
      <c r="J1" s="3" t="s">
        <v>65</v>
      </c>
      <c r="K1" s="3" t="s">
        <v>66</v>
      </c>
      <c r="L1" s="3">
        <v>0</v>
      </c>
      <c r="M1" s="3">
        <v>1</v>
      </c>
      <c r="N1" s="3" t="s">
        <v>67</v>
      </c>
      <c r="O1" s="3" t="s">
        <v>68</v>
      </c>
      <c r="Q1" s="3" t="s">
        <v>77</v>
      </c>
      <c r="R1" s="3" t="s">
        <v>65</v>
      </c>
      <c r="S1" s="3" t="s">
        <v>66</v>
      </c>
      <c r="T1" s="3">
        <v>0</v>
      </c>
      <c r="U1" s="3">
        <v>1</v>
      </c>
      <c r="V1" s="3" t="s">
        <v>67</v>
      </c>
      <c r="W1" s="3" t="s">
        <v>68</v>
      </c>
    </row>
    <row r="2" spans="1:23" x14ac:dyDescent="0.2">
      <c r="A2" t="s">
        <v>64</v>
      </c>
      <c r="B2">
        <v>1</v>
      </c>
      <c r="C2" t="s">
        <v>0</v>
      </c>
      <c r="D2">
        <v>31.176850259999998</v>
      </c>
      <c r="E2">
        <v>27.9513207</v>
      </c>
      <c r="F2" s="1">
        <v>37.94556</v>
      </c>
      <c r="G2">
        <v>124.79252916999999</v>
      </c>
      <c r="I2" t="s">
        <v>78</v>
      </c>
      <c r="J2">
        <v>1</v>
      </c>
      <c r="K2" t="s">
        <v>5</v>
      </c>
      <c r="L2">
        <v>17.450797999999999</v>
      </c>
      <c r="M2">
        <v>43.469695000000002</v>
      </c>
      <c r="N2">
        <v>45.787419999999997</v>
      </c>
      <c r="O2">
        <v>158.6304174</v>
      </c>
      <c r="Q2" t="s">
        <v>80</v>
      </c>
      <c r="R2">
        <v>1</v>
      </c>
      <c r="S2" t="s">
        <v>3</v>
      </c>
      <c r="T2">
        <v>20.207785099999999</v>
      </c>
      <c r="U2">
        <v>21.061928900000002</v>
      </c>
      <c r="V2">
        <v>27.5913121</v>
      </c>
      <c r="W2">
        <v>99.814307499999998</v>
      </c>
    </row>
    <row r="3" spans="1:23" x14ac:dyDescent="0.2">
      <c r="A3" t="s">
        <v>64</v>
      </c>
      <c r="B3">
        <v>2</v>
      </c>
      <c r="C3" t="s">
        <v>1</v>
      </c>
      <c r="D3">
        <v>17.990877940000001</v>
      </c>
      <c r="E3">
        <v>26.340731900000002</v>
      </c>
      <c r="F3" s="1">
        <v>30.958580000000001</v>
      </c>
      <c r="G3">
        <v>126.70331251</v>
      </c>
      <c r="I3" t="s">
        <v>78</v>
      </c>
      <c r="J3">
        <v>2</v>
      </c>
      <c r="K3" t="s">
        <v>1</v>
      </c>
      <c r="L3">
        <v>24.786943999999998</v>
      </c>
      <c r="M3">
        <v>31.860061999999999</v>
      </c>
      <c r="N3">
        <v>36.895831999999999</v>
      </c>
      <c r="O3">
        <v>141.16979180000001</v>
      </c>
      <c r="Q3" t="s">
        <v>80</v>
      </c>
      <c r="R3">
        <v>2</v>
      </c>
      <c r="S3" t="s">
        <v>21</v>
      </c>
      <c r="T3">
        <v>14.352535899999999</v>
      </c>
      <c r="U3">
        <v>17.882406979999999</v>
      </c>
      <c r="V3">
        <v>22.124334999999999</v>
      </c>
      <c r="W3">
        <v>91.670477000000005</v>
      </c>
    </row>
    <row r="4" spans="1:23" x14ac:dyDescent="0.2">
      <c r="A4" t="s">
        <v>64</v>
      </c>
      <c r="B4">
        <v>3</v>
      </c>
      <c r="C4" t="s">
        <v>2</v>
      </c>
      <c r="D4">
        <v>23.003493540000001</v>
      </c>
      <c r="E4">
        <v>19.481379400000002</v>
      </c>
      <c r="F4" s="1">
        <v>29.236820000000002</v>
      </c>
      <c r="G4">
        <v>91.382327500000002</v>
      </c>
      <c r="I4" t="s">
        <v>78</v>
      </c>
      <c r="J4">
        <v>3</v>
      </c>
      <c r="K4" t="s">
        <v>3</v>
      </c>
      <c r="L4">
        <v>27.005165000000002</v>
      </c>
      <c r="M4">
        <v>29.839024999999999</v>
      </c>
      <c r="N4">
        <v>35.403354999999998</v>
      </c>
      <c r="O4">
        <v>118.6648227</v>
      </c>
      <c r="Q4" t="s">
        <v>80</v>
      </c>
      <c r="R4">
        <v>3</v>
      </c>
      <c r="S4" t="s">
        <v>1</v>
      </c>
      <c r="T4">
        <v>18.1836032</v>
      </c>
      <c r="U4">
        <v>12.07234326</v>
      </c>
      <c r="V4">
        <v>22.059503100000001</v>
      </c>
      <c r="W4">
        <v>95.696615699999995</v>
      </c>
    </row>
    <row r="5" spans="1:23" x14ac:dyDescent="0.2">
      <c r="A5" t="s">
        <v>64</v>
      </c>
      <c r="B5">
        <v>4</v>
      </c>
      <c r="C5" t="s">
        <v>3</v>
      </c>
      <c r="D5">
        <v>22.151471610000002</v>
      </c>
      <c r="E5">
        <v>20.080903800000002</v>
      </c>
      <c r="F5" s="1">
        <v>28.386880000000001</v>
      </c>
      <c r="G5">
        <v>92.924010569999993</v>
      </c>
      <c r="I5" t="s">
        <v>78</v>
      </c>
      <c r="J5">
        <v>4</v>
      </c>
      <c r="K5" t="s">
        <v>21</v>
      </c>
      <c r="L5">
        <v>10.206222</v>
      </c>
      <c r="M5">
        <v>31.029166</v>
      </c>
      <c r="N5">
        <v>29.865306</v>
      </c>
      <c r="O5">
        <v>115.714038</v>
      </c>
      <c r="Q5" t="s">
        <v>80</v>
      </c>
      <c r="R5">
        <v>4</v>
      </c>
      <c r="S5" t="s">
        <v>2</v>
      </c>
      <c r="T5">
        <v>14.0782486</v>
      </c>
      <c r="U5">
        <v>17.836739810000001</v>
      </c>
      <c r="V5">
        <v>22.034122400000001</v>
      </c>
      <c r="W5">
        <v>65.305055899999999</v>
      </c>
    </row>
    <row r="6" spans="1:23" x14ac:dyDescent="0.2">
      <c r="A6" t="s">
        <v>64</v>
      </c>
      <c r="B6">
        <v>5</v>
      </c>
      <c r="C6" t="s">
        <v>4</v>
      </c>
      <c r="D6">
        <v>21.666159690000001</v>
      </c>
      <c r="E6">
        <v>12.6651805</v>
      </c>
      <c r="F6" s="1">
        <v>24.822320000000001</v>
      </c>
      <c r="G6">
        <v>114.7172003</v>
      </c>
      <c r="I6" t="s">
        <v>78</v>
      </c>
      <c r="J6">
        <v>5</v>
      </c>
      <c r="K6" t="s">
        <v>7</v>
      </c>
      <c r="L6">
        <v>26.792235000000002</v>
      </c>
      <c r="M6">
        <v>14.939761000000001</v>
      </c>
      <c r="N6">
        <v>29.442900999999999</v>
      </c>
      <c r="O6">
        <v>126.4971798</v>
      </c>
      <c r="Q6" t="s">
        <v>80</v>
      </c>
      <c r="R6">
        <v>5</v>
      </c>
      <c r="S6" t="s">
        <v>5</v>
      </c>
      <c r="T6">
        <v>8.0501024000000001</v>
      </c>
      <c r="U6">
        <v>18.900524879999999</v>
      </c>
      <c r="V6">
        <v>20.542048000000001</v>
      </c>
      <c r="W6">
        <v>59.564545799999998</v>
      </c>
    </row>
    <row r="7" spans="1:23" x14ac:dyDescent="0.2">
      <c r="A7" t="s">
        <v>64</v>
      </c>
      <c r="B7">
        <v>6</v>
      </c>
      <c r="C7" t="s">
        <v>5</v>
      </c>
      <c r="D7">
        <v>14.526491160000001</v>
      </c>
      <c r="E7">
        <v>22.0319124</v>
      </c>
      <c r="F7" s="1">
        <v>24.223749999999999</v>
      </c>
      <c r="G7">
        <v>72.901695439999997</v>
      </c>
      <c r="I7" t="s">
        <v>78</v>
      </c>
      <c r="J7">
        <v>6</v>
      </c>
      <c r="K7" t="s">
        <v>4</v>
      </c>
      <c r="L7">
        <v>20.809477999999999</v>
      </c>
      <c r="M7">
        <v>22.174548999999999</v>
      </c>
      <c r="N7">
        <v>28.479806</v>
      </c>
      <c r="O7">
        <v>123.8912656</v>
      </c>
      <c r="Q7" t="s">
        <v>80</v>
      </c>
      <c r="R7">
        <v>6</v>
      </c>
      <c r="S7" t="s">
        <v>6</v>
      </c>
      <c r="T7">
        <v>-1.2833220999999999</v>
      </c>
      <c r="U7">
        <v>20.44202731</v>
      </c>
      <c r="V7">
        <v>17.763048099999999</v>
      </c>
      <c r="W7">
        <v>66.701356799999999</v>
      </c>
    </row>
    <row r="8" spans="1:23" x14ac:dyDescent="0.2">
      <c r="A8" t="s">
        <v>64</v>
      </c>
      <c r="B8">
        <v>7</v>
      </c>
      <c r="C8" t="s">
        <v>6</v>
      </c>
      <c r="D8">
        <v>7.21130929</v>
      </c>
      <c r="E8">
        <v>20.3447019</v>
      </c>
      <c r="F8" s="1">
        <v>21.86007</v>
      </c>
      <c r="G8">
        <v>86.146786629999994</v>
      </c>
      <c r="I8" t="s">
        <v>78</v>
      </c>
      <c r="J8">
        <v>7</v>
      </c>
      <c r="K8" t="s">
        <v>0</v>
      </c>
      <c r="L8">
        <v>20.520619</v>
      </c>
      <c r="M8">
        <v>25.173143</v>
      </c>
      <c r="N8">
        <v>28.351123000000001</v>
      </c>
      <c r="O8">
        <v>81.077813199999994</v>
      </c>
      <c r="Q8" t="s">
        <v>80</v>
      </c>
      <c r="R8">
        <v>7</v>
      </c>
      <c r="S8" t="s">
        <v>24</v>
      </c>
      <c r="T8">
        <v>9.5841723999999999</v>
      </c>
      <c r="U8">
        <v>16.136197970000001</v>
      </c>
      <c r="V8">
        <v>17.311556899999999</v>
      </c>
      <c r="W8">
        <v>69.644088699999998</v>
      </c>
    </row>
    <row r="9" spans="1:23" x14ac:dyDescent="0.2">
      <c r="A9" t="s">
        <v>64</v>
      </c>
      <c r="B9">
        <v>8</v>
      </c>
      <c r="C9" t="s">
        <v>7</v>
      </c>
      <c r="D9">
        <v>18.081377329999999</v>
      </c>
      <c r="E9">
        <v>9.5740926000000002</v>
      </c>
      <c r="F9" s="1">
        <v>20.170760000000001</v>
      </c>
      <c r="G9">
        <v>103.17344031</v>
      </c>
      <c r="I9" t="s">
        <v>78</v>
      </c>
      <c r="J9">
        <v>8</v>
      </c>
      <c r="K9" t="s">
        <v>12</v>
      </c>
      <c r="L9">
        <v>21.852512000000001</v>
      </c>
      <c r="M9">
        <v>20.364934999999999</v>
      </c>
      <c r="N9">
        <v>27.801200000000001</v>
      </c>
      <c r="O9">
        <v>128.2970105</v>
      </c>
      <c r="Q9" t="s">
        <v>80</v>
      </c>
      <c r="R9">
        <v>8</v>
      </c>
      <c r="S9" t="s">
        <v>7</v>
      </c>
      <c r="T9">
        <v>16.283380300000001</v>
      </c>
      <c r="U9">
        <v>5.1921350100000003</v>
      </c>
      <c r="V9">
        <v>16.926706100000001</v>
      </c>
      <c r="W9">
        <v>79.968504300000006</v>
      </c>
    </row>
    <row r="10" spans="1:23" x14ac:dyDescent="0.2">
      <c r="A10" t="s">
        <v>64</v>
      </c>
      <c r="B10">
        <v>9</v>
      </c>
      <c r="C10" t="s">
        <v>8</v>
      </c>
      <c r="D10">
        <v>8.0096600700000007</v>
      </c>
      <c r="E10">
        <v>17.8078</v>
      </c>
      <c r="F10" s="1">
        <v>19.806560000000001</v>
      </c>
      <c r="G10">
        <v>87.759089090000003</v>
      </c>
      <c r="I10" t="s">
        <v>78</v>
      </c>
      <c r="J10">
        <v>9</v>
      </c>
      <c r="K10" t="s">
        <v>9</v>
      </c>
      <c r="L10">
        <v>11.034151</v>
      </c>
      <c r="M10">
        <v>23.459892</v>
      </c>
      <c r="N10">
        <v>24.857213999999999</v>
      </c>
      <c r="O10">
        <v>101.7642768</v>
      </c>
      <c r="Q10" t="s">
        <v>80</v>
      </c>
      <c r="R10">
        <v>9</v>
      </c>
      <c r="S10" t="s">
        <v>28</v>
      </c>
      <c r="T10">
        <v>9.4830079000000005</v>
      </c>
      <c r="U10">
        <v>13.37258984</v>
      </c>
      <c r="V10">
        <v>16.399949500000002</v>
      </c>
      <c r="W10">
        <v>82.063766299999997</v>
      </c>
    </row>
    <row r="11" spans="1:23" x14ac:dyDescent="0.2">
      <c r="A11" t="s">
        <v>64</v>
      </c>
      <c r="B11">
        <v>10</v>
      </c>
      <c r="C11" t="s">
        <v>9</v>
      </c>
      <c r="D11">
        <v>9.9476736900000002</v>
      </c>
      <c r="E11">
        <v>14.685766599999999</v>
      </c>
      <c r="F11" s="1">
        <v>18.588699999999999</v>
      </c>
      <c r="G11">
        <v>89.72797937</v>
      </c>
      <c r="I11" t="s">
        <v>78</v>
      </c>
      <c r="J11">
        <v>10</v>
      </c>
      <c r="K11" t="s">
        <v>6</v>
      </c>
      <c r="L11">
        <v>1.5139419999999999</v>
      </c>
      <c r="M11">
        <v>23.302659999999999</v>
      </c>
      <c r="N11">
        <v>24.379688000000002</v>
      </c>
      <c r="O11">
        <v>74.358706799999993</v>
      </c>
      <c r="Q11" t="s">
        <v>80</v>
      </c>
      <c r="R11">
        <v>10</v>
      </c>
      <c r="S11" t="s">
        <v>18</v>
      </c>
      <c r="T11">
        <v>8.0967549000000005</v>
      </c>
      <c r="U11">
        <v>13.78133208</v>
      </c>
      <c r="V11">
        <v>16.251935</v>
      </c>
      <c r="W11">
        <v>20.670341499999999</v>
      </c>
    </row>
    <row r="12" spans="1:23" x14ac:dyDescent="0.2">
      <c r="A12" t="s">
        <v>64</v>
      </c>
      <c r="B12">
        <v>11</v>
      </c>
      <c r="C12" t="s">
        <v>10</v>
      </c>
      <c r="D12">
        <v>13.77539253</v>
      </c>
      <c r="E12">
        <v>13.051663</v>
      </c>
      <c r="F12" s="1">
        <v>18.570080000000001</v>
      </c>
      <c r="G12">
        <v>88.405345190000006</v>
      </c>
      <c r="I12" t="s">
        <v>78</v>
      </c>
      <c r="J12">
        <v>11</v>
      </c>
      <c r="K12" t="s">
        <v>28</v>
      </c>
      <c r="L12">
        <v>17.340035</v>
      </c>
      <c r="M12">
        <v>19.051309</v>
      </c>
      <c r="N12">
        <v>23.115224000000001</v>
      </c>
      <c r="O12">
        <v>110.56307579999999</v>
      </c>
      <c r="Q12" t="s">
        <v>80</v>
      </c>
      <c r="R12">
        <v>11</v>
      </c>
      <c r="S12" t="s">
        <v>4</v>
      </c>
      <c r="T12">
        <v>15.149692</v>
      </c>
      <c r="U12">
        <v>8.0000899600000004</v>
      </c>
      <c r="V12">
        <v>16.138143800000002</v>
      </c>
      <c r="W12">
        <v>95.053815400000005</v>
      </c>
    </row>
    <row r="13" spans="1:23" x14ac:dyDescent="0.2">
      <c r="A13" t="s">
        <v>64</v>
      </c>
      <c r="B13">
        <v>12</v>
      </c>
      <c r="C13" t="s">
        <v>11</v>
      </c>
      <c r="D13">
        <v>11.757977390000001</v>
      </c>
      <c r="E13">
        <v>14.227691</v>
      </c>
      <c r="F13" s="1">
        <v>18.222280000000001</v>
      </c>
      <c r="G13">
        <v>92.918835799999997</v>
      </c>
      <c r="I13" t="s">
        <v>78</v>
      </c>
      <c r="J13">
        <v>12</v>
      </c>
      <c r="K13" t="s">
        <v>24</v>
      </c>
      <c r="L13">
        <v>19.994132</v>
      </c>
      <c r="M13">
        <v>13.304747000000001</v>
      </c>
      <c r="N13">
        <v>22.904440999999998</v>
      </c>
      <c r="O13">
        <v>87.748649700000001</v>
      </c>
      <c r="Q13" t="s">
        <v>80</v>
      </c>
      <c r="R13">
        <v>12</v>
      </c>
      <c r="S13" t="s">
        <v>9</v>
      </c>
      <c r="T13">
        <v>11.812315399999999</v>
      </c>
      <c r="U13">
        <v>9.3351836499999994</v>
      </c>
      <c r="V13">
        <v>15.7123034</v>
      </c>
      <c r="W13">
        <v>78.946215499999994</v>
      </c>
    </row>
    <row r="14" spans="1:23" x14ac:dyDescent="0.2">
      <c r="A14" t="s">
        <v>64</v>
      </c>
      <c r="B14">
        <v>13</v>
      </c>
      <c r="C14" t="s">
        <v>12</v>
      </c>
      <c r="D14">
        <v>16.432994470000001</v>
      </c>
      <c r="E14">
        <v>10.05578</v>
      </c>
      <c r="F14" s="1">
        <v>17.366630000000001</v>
      </c>
      <c r="G14">
        <v>97.784194850000006</v>
      </c>
      <c r="I14" t="s">
        <v>78</v>
      </c>
      <c r="J14">
        <v>13</v>
      </c>
      <c r="K14" t="s">
        <v>31</v>
      </c>
      <c r="L14">
        <v>16.016005</v>
      </c>
      <c r="M14">
        <v>12.609964</v>
      </c>
      <c r="N14">
        <v>21.998286</v>
      </c>
      <c r="O14">
        <v>89.280957200000003</v>
      </c>
      <c r="Q14" t="s">
        <v>80</v>
      </c>
      <c r="R14">
        <v>13</v>
      </c>
      <c r="S14" t="s">
        <v>14</v>
      </c>
      <c r="T14">
        <v>8.9512894000000003</v>
      </c>
      <c r="U14">
        <v>10.956551190000001</v>
      </c>
      <c r="V14">
        <v>15.2267201</v>
      </c>
      <c r="W14">
        <v>72.872204100000005</v>
      </c>
    </row>
    <row r="15" spans="1:23" x14ac:dyDescent="0.2">
      <c r="A15" t="s">
        <v>64</v>
      </c>
      <c r="B15">
        <v>14</v>
      </c>
      <c r="C15" t="s">
        <v>13</v>
      </c>
      <c r="D15">
        <v>10.985965370000001</v>
      </c>
      <c r="E15">
        <v>13.0488006</v>
      </c>
      <c r="F15" s="1">
        <v>16.901340000000001</v>
      </c>
      <c r="G15">
        <v>83.036985000000001</v>
      </c>
      <c r="I15" t="s">
        <v>78</v>
      </c>
      <c r="J15">
        <v>14</v>
      </c>
      <c r="K15" t="s">
        <v>10</v>
      </c>
      <c r="L15">
        <v>16.901651999999999</v>
      </c>
      <c r="M15">
        <v>13.548360000000001</v>
      </c>
      <c r="N15">
        <v>21.540122</v>
      </c>
      <c r="O15">
        <v>91.677056399999998</v>
      </c>
      <c r="Q15" t="s">
        <v>80</v>
      </c>
      <c r="R15">
        <v>14</v>
      </c>
      <c r="S15" t="s">
        <v>17</v>
      </c>
      <c r="T15">
        <v>11.869563899999999</v>
      </c>
      <c r="U15">
        <v>10.135972410000001</v>
      </c>
      <c r="V15">
        <v>15.1137552</v>
      </c>
      <c r="W15">
        <v>76.599147400000007</v>
      </c>
    </row>
    <row r="16" spans="1:23" x14ac:dyDescent="0.2">
      <c r="A16" t="s">
        <v>64</v>
      </c>
      <c r="B16">
        <v>15</v>
      </c>
      <c r="C16" t="s">
        <v>14</v>
      </c>
      <c r="D16">
        <v>11.65852484</v>
      </c>
      <c r="E16">
        <v>11.0436958</v>
      </c>
      <c r="F16" s="1">
        <v>15.717169999999999</v>
      </c>
      <c r="G16">
        <v>70.495816469999994</v>
      </c>
      <c r="I16" t="s">
        <v>78</v>
      </c>
      <c r="J16">
        <v>15</v>
      </c>
      <c r="K16" t="s">
        <v>14</v>
      </c>
      <c r="L16">
        <v>14.842682</v>
      </c>
      <c r="M16">
        <v>15.582464999999999</v>
      </c>
      <c r="N16">
        <v>21.302491</v>
      </c>
      <c r="O16">
        <v>77.493002399999995</v>
      </c>
      <c r="Q16" t="s">
        <v>80</v>
      </c>
      <c r="R16">
        <v>15</v>
      </c>
      <c r="S16" t="s">
        <v>35</v>
      </c>
      <c r="T16">
        <v>10.1760441</v>
      </c>
      <c r="U16">
        <v>11.693717019999999</v>
      </c>
      <c r="V16">
        <v>15.052464799999999</v>
      </c>
      <c r="W16">
        <v>77.4041079</v>
      </c>
    </row>
    <row r="17" spans="1:23" x14ac:dyDescent="0.2">
      <c r="A17" t="s">
        <v>64</v>
      </c>
      <c r="B17">
        <v>16</v>
      </c>
      <c r="C17" t="s">
        <v>15</v>
      </c>
      <c r="D17">
        <v>3.3601356099999999</v>
      </c>
      <c r="E17">
        <v>15.593908600000001</v>
      </c>
      <c r="F17" s="1">
        <v>15.430020000000001</v>
      </c>
      <c r="G17">
        <v>57.82246413</v>
      </c>
      <c r="I17" t="s">
        <v>78</v>
      </c>
      <c r="J17">
        <v>16</v>
      </c>
      <c r="K17" t="s">
        <v>8</v>
      </c>
      <c r="L17">
        <v>6.1597169999999997</v>
      </c>
      <c r="M17">
        <v>17.730619999999998</v>
      </c>
      <c r="N17">
        <v>20.866340999999998</v>
      </c>
      <c r="O17">
        <v>83.748394399999995</v>
      </c>
      <c r="Q17" t="s">
        <v>80</v>
      </c>
      <c r="R17">
        <v>16</v>
      </c>
      <c r="S17" t="s">
        <v>15</v>
      </c>
      <c r="T17">
        <v>4.8573991000000003</v>
      </c>
      <c r="U17">
        <v>15.031658</v>
      </c>
      <c r="V17">
        <v>15.015144899999999</v>
      </c>
      <c r="W17">
        <v>50.011964999999996</v>
      </c>
    </row>
    <row r="18" spans="1:23" x14ac:dyDescent="0.2">
      <c r="A18" t="s">
        <v>64</v>
      </c>
      <c r="B18">
        <v>17</v>
      </c>
      <c r="C18" t="s">
        <v>16</v>
      </c>
      <c r="D18">
        <v>13.862695649999999</v>
      </c>
      <c r="E18">
        <v>6.5232682000000004</v>
      </c>
      <c r="F18" s="1">
        <v>15.016439999999999</v>
      </c>
      <c r="G18">
        <v>66.512441859999996</v>
      </c>
      <c r="I18" t="s">
        <v>78</v>
      </c>
      <c r="J18">
        <v>17</v>
      </c>
      <c r="K18" t="s">
        <v>2</v>
      </c>
      <c r="L18">
        <v>19.91938</v>
      </c>
      <c r="M18">
        <v>13.375308</v>
      </c>
      <c r="N18">
        <v>20.571994</v>
      </c>
      <c r="O18">
        <v>54.526975399999998</v>
      </c>
      <c r="Q18" t="s">
        <v>80</v>
      </c>
      <c r="R18">
        <v>17</v>
      </c>
      <c r="S18" t="s">
        <v>36</v>
      </c>
      <c r="T18">
        <v>9.3087806999999998</v>
      </c>
      <c r="U18">
        <v>9.3297812400000009</v>
      </c>
      <c r="V18">
        <v>14.227544699999999</v>
      </c>
      <c r="W18">
        <v>69.7459025</v>
      </c>
    </row>
    <row r="19" spans="1:23" x14ac:dyDescent="0.2">
      <c r="A19" t="s">
        <v>64</v>
      </c>
      <c r="B19">
        <v>18</v>
      </c>
      <c r="C19" t="s">
        <v>17</v>
      </c>
      <c r="D19">
        <v>15.68738291</v>
      </c>
      <c r="E19">
        <v>3.3833011000000002</v>
      </c>
      <c r="F19" s="1">
        <v>14.59651</v>
      </c>
      <c r="G19">
        <v>80.172546319999995</v>
      </c>
      <c r="I19" t="s">
        <v>78</v>
      </c>
      <c r="J19">
        <v>18</v>
      </c>
      <c r="K19" t="s">
        <v>15</v>
      </c>
      <c r="L19">
        <v>6.1693720000000001</v>
      </c>
      <c r="M19">
        <v>19.237984000000001</v>
      </c>
      <c r="N19">
        <v>20.571052999999999</v>
      </c>
      <c r="O19">
        <v>66.104986100000005</v>
      </c>
      <c r="Q19" t="s">
        <v>80</v>
      </c>
      <c r="R19">
        <v>18</v>
      </c>
      <c r="S19" t="s">
        <v>26</v>
      </c>
      <c r="T19">
        <v>6.9469722999999997</v>
      </c>
      <c r="U19">
        <v>11.17582331</v>
      </c>
      <c r="V19">
        <v>14.1659899</v>
      </c>
      <c r="W19">
        <v>73.406099499999996</v>
      </c>
    </row>
    <row r="20" spans="1:23" x14ac:dyDescent="0.2">
      <c r="A20" t="s">
        <v>64</v>
      </c>
      <c r="B20">
        <v>19</v>
      </c>
      <c r="C20" t="s">
        <v>18</v>
      </c>
      <c r="D20">
        <v>6.91246369</v>
      </c>
      <c r="E20">
        <v>12.490384600000001</v>
      </c>
      <c r="F20" s="1">
        <v>14.55758</v>
      </c>
      <c r="G20">
        <v>18.140849500000002</v>
      </c>
      <c r="I20" t="s">
        <v>78</v>
      </c>
      <c r="J20">
        <v>19</v>
      </c>
      <c r="K20" t="s">
        <v>17</v>
      </c>
      <c r="L20">
        <v>14.061068000000001</v>
      </c>
      <c r="M20">
        <v>15.301679</v>
      </c>
      <c r="N20">
        <v>19.983097000000001</v>
      </c>
      <c r="O20">
        <v>92.620325600000001</v>
      </c>
      <c r="Q20" t="s">
        <v>80</v>
      </c>
      <c r="R20">
        <v>19</v>
      </c>
      <c r="S20" t="s">
        <v>0</v>
      </c>
      <c r="T20">
        <v>9.1532105000000001</v>
      </c>
      <c r="U20">
        <v>11.26266373</v>
      </c>
      <c r="V20">
        <v>14.060193200000001</v>
      </c>
      <c r="W20">
        <v>39.841437599999999</v>
      </c>
    </row>
    <row r="21" spans="1:23" x14ac:dyDescent="0.2">
      <c r="A21" t="s">
        <v>64</v>
      </c>
      <c r="B21">
        <v>20</v>
      </c>
      <c r="C21" t="s">
        <v>19</v>
      </c>
      <c r="D21">
        <v>5.41111773</v>
      </c>
      <c r="E21">
        <v>14.2136475</v>
      </c>
      <c r="F21" s="1">
        <v>14.41839</v>
      </c>
      <c r="G21">
        <v>42.904105629999997</v>
      </c>
      <c r="I21" t="s">
        <v>78</v>
      </c>
      <c r="J21">
        <v>20</v>
      </c>
      <c r="K21" t="s">
        <v>13</v>
      </c>
      <c r="L21">
        <v>13.159064000000001</v>
      </c>
      <c r="M21">
        <v>12.906719000000001</v>
      </c>
      <c r="N21">
        <v>19.632379</v>
      </c>
      <c r="O21">
        <v>80.364517699999993</v>
      </c>
      <c r="Q21" t="s">
        <v>80</v>
      </c>
      <c r="R21">
        <v>20</v>
      </c>
      <c r="S21" t="s">
        <v>13</v>
      </c>
      <c r="T21">
        <v>12.3209952</v>
      </c>
      <c r="U21">
        <v>5.4272079599999996</v>
      </c>
      <c r="V21">
        <v>14.0350097</v>
      </c>
      <c r="W21">
        <v>66.861412999999999</v>
      </c>
    </row>
    <row r="22" spans="1:23" x14ac:dyDescent="0.2">
      <c r="A22" t="s">
        <v>64</v>
      </c>
      <c r="B22">
        <v>21</v>
      </c>
      <c r="C22" t="s">
        <v>20</v>
      </c>
      <c r="D22">
        <v>10.45807061</v>
      </c>
      <c r="E22">
        <v>9.8286307999999991</v>
      </c>
      <c r="F22" s="1">
        <v>13.47688</v>
      </c>
      <c r="G22">
        <v>71.632367090000002</v>
      </c>
      <c r="I22" t="s">
        <v>78</v>
      </c>
      <c r="J22">
        <v>21</v>
      </c>
      <c r="K22" t="s">
        <v>40</v>
      </c>
      <c r="L22">
        <v>8.5434870000000007</v>
      </c>
      <c r="M22">
        <v>16.703367</v>
      </c>
      <c r="N22">
        <v>18.773544000000001</v>
      </c>
      <c r="O22">
        <v>78.946551799999995</v>
      </c>
      <c r="Q22" t="s">
        <v>80</v>
      </c>
      <c r="R22">
        <v>21</v>
      </c>
      <c r="S22" t="s">
        <v>39</v>
      </c>
      <c r="T22">
        <v>9.4473345000000002</v>
      </c>
      <c r="U22">
        <v>9.5524619699999995</v>
      </c>
      <c r="V22">
        <v>13.9961541</v>
      </c>
      <c r="W22">
        <v>76.195499400000003</v>
      </c>
    </row>
    <row r="23" spans="1:23" x14ac:dyDescent="0.2">
      <c r="A23" t="s">
        <v>64</v>
      </c>
      <c r="B23">
        <v>22</v>
      </c>
      <c r="C23" t="s">
        <v>21</v>
      </c>
      <c r="D23">
        <v>6.9302723100000003</v>
      </c>
      <c r="E23">
        <v>11.354173599999999</v>
      </c>
      <c r="F23" s="1">
        <v>13.41325</v>
      </c>
      <c r="G23">
        <v>85.21938025</v>
      </c>
      <c r="I23" t="s">
        <v>78</v>
      </c>
      <c r="J23">
        <v>22</v>
      </c>
      <c r="K23" t="s">
        <v>23</v>
      </c>
      <c r="L23">
        <v>11.264936000000001</v>
      </c>
      <c r="M23">
        <v>13.754337</v>
      </c>
      <c r="N23">
        <v>18.47418</v>
      </c>
      <c r="O23">
        <v>67.962479500000001</v>
      </c>
      <c r="Q23" t="s">
        <v>80</v>
      </c>
      <c r="R23">
        <v>22</v>
      </c>
      <c r="S23" t="s">
        <v>31</v>
      </c>
      <c r="T23">
        <v>12.7673962</v>
      </c>
      <c r="U23">
        <v>5.5820713</v>
      </c>
      <c r="V23">
        <v>13.939170799999999</v>
      </c>
      <c r="W23">
        <v>75.002088700000002</v>
      </c>
    </row>
    <row r="24" spans="1:23" x14ac:dyDescent="0.2">
      <c r="A24" t="s">
        <v>64</v>
      </c>
      <c r="B24">
        <v>23</v>
      </c>
      <c r="C24" t="s">
        <v>22</v>
      </c>
      <c r="D24">
        <v>10.997311249999999</v>
      </c>
      <c r="E24">
        <v>7.1316588999999997</v>
      </c>
      <c r="F24" s="1">
        <v>13.24902</v>
      </c>
      <c r="G24">
        <v>63.381467999999998</v>
      </c>
      <c r="I24" t="s">
        <v>78</v>
      </c>
      <c r="J24">
        <v>23</v>
      </c>
      <c r="K24" t="s">
        <v>11</v>
      </c>
      <c r="L24">
        <v>15.79114</v>
      </c>
      <c r="M24">
        <v>10.244555999999999</v>
      </c>
      <c r="N24">
        <v>18.046734000000001</v>
      </c>
      <c r="O24">
        <v>88.647745599999993</v>
      </c>
      <c r="Q24" t="s">
        <v>80</v>
      </c>
      <c r="R24">
        <v>23</v>
      </c>
      <c r="S24" t="s">
        <v>10</v>
      </c>
      <c r="T24">
        <v>12.558884300000001</v>
      </c>
      <c r="U24">
        <v>4.7291391200000001</v>
      </c>
      <c r="V24">
        <v>13.0903928</v>
      </c>
      <c r="W24">
        <v>71.234391099999996</v>
      </c>
    </row>
    <row r="25" spans="1:23" x14ac:dyDescent="0.2">
      <c r="A25" t="s">
        <v>64</v>
      </c>
      <c r="B25">
        <v>24</v>
      </c>
      <c r="C25" t="s">
        <v>23</v>
      </c>
      <c r="D25">
        <v>9.8583845100000005</v>
      </c>
      <c r="E25">
        <v>8.4348936000000005</v>
      </c>
      <c r="F25" s="1">
        <v>13.16253</v>
      </c>
      <c r="G25">
        <v>72.448643959999998</v>
      </c>
      <c r="I25" t="s">
        <v>78</v>
      </c>
      <c r="J25">
        <v>24</v>
      </c>
      <c r="K25" t="s">
        <v>33</v>
      </c>
      <c r="L25">
        <v>11.721062</v>
      </c>
      <c r="M25">
        <v>13.94346</v>
      </c>
      <c r="N25">
        <v>18.014044999999999</v>
      </c>
      <c r="O25">
        <v>65.562531699999994</v>
      </c>
      <c r="Q25" t="s">
        <v>80</v>
      </c>
      <c r="R25">
        <v>24</v>
      </c>
      <c r="S25" t="s">
        <v>30</v>
      </c>
      <c r="T25">
        <v>7.9134561000000003</v>
      </c>
      <c r="U25">
        <v>8.9442124100000004</v>
      </c>
      <c r="V25">
        <v>13.079711400000001</v>
      </c>
      <c r="W25">
        <v>71.446945600000006</v>
      </c>
    </row>
    <row r="26" spans="1:23" x14ac:dyDescent="0.2">
      <c r="A26" t="s">
        <v>64</v>
      </c>
      <c r="B26">
        <v>25</v>
      </c>
      <c r="C26" t="s">
        <v>24</v>
      </c>
      <c r="D26">
        <v>12.44385059</v>
      </c>
      <c r="E26">
        <v>5.4152579999999997</v>
      </c>
      <c r="F26" s="1">
        <v>12.55837</v>
      </c>
      <c r="G26">
        <v>67.746451519999994</v>
      </c>
      <c r="I26" t="s">
        <v>78</v>
      </c>
      <c r="J26">
        <v>25</v>
      </c>
      <c r="K26" t="s">
        <v>30</v>
      </c>
      <c r="L26">
        <v>9.2003190000000004</v>
      </c>
      <c r="M26">
        <v>13.71974</v>
      </c>
      <c r="N26">
        <v>17.577635999999998</v>
      </c>
      <c r="O26">
        <v>81.770405699999998</v>
      </c>
      <c r="Q26" t="s">
        <v>80</v>
      </c>
      <c r="R26">
        <v>25</v>
      </c>
      <c r="S26" t="s">
        <v>12</v>
      </c>
      <c r="T26">
        <v>9.2328989999999997</v>
      </c>
      <c r="U26">
        <v>9.2562537599999999</v>
      </c>
      <c r="V26">
        <v>12.442799300000001</v>
      </c>
      <c r="W26">
        <v>80.277148600000004</v>
      </c>
    </row>
    <row r="27" spans="1:23" x14ac:dyDescent="0.2">
      <c r="A27" t="s">
        <v>64</v>
      </c>
      <c r="B27">
        <v>26</v>
      </c>
      <c r="C27" t="s">
        <v>25</v>
      </c>
      <c r="D27">
        <v>12.46818466</v>
      </c>
      <c r="E27">
        <v>3.7403005999999999</v>
      </c>
      <c r="F27" s="1">
        <v>11.694660000000001</v>
      </c>
      <c r="G27">
        <v>85.143891859999997</v>
      </c>
      <c r="I27" t="s">
        <v>78</v>
      </c>
      <c r="J27">
        <v>26</v>
      </c>
      <c r="K27" t="s">
        <v>46</v>
      </c>
      <c r="L27">
        <v>10.720408000000001</v>
      </c>
      <c r="M27">
        <v>15.025900999999999</v>
      </c>
      <c r="N27">
        <v>17.418717999999998</v>
      </c>
      <c r="O27">
        <v>90.227269899999996</v>
      </c>
      <c r="Q27" t="s">
        <v>80</v>
      </c>
      <c r="R27">
        <v>26</v>
      </c>
      <c r="S27" t="s">
        <v>34</v>
      </c>
      <c r="T27">
        <v>8.5967135999999993</v>
      </c>
      <c r="U27">
        <v>7.2027433199999997</v>
      </c>
      <c r="V27">
        <v>12.256453199999999</v>
      </c>
      <c r="W27">
        <v>53.079848200000001</v>
      </c>
    </row>
    <row r="28" spans="1:23" x14ac:dyDescent="0.2">
      <c r="A28" t="s">
        <v>64</v>
      </c>
      <c r="B28">
        <v>27</v>
      </c>
      <c r="C28" t="s">
        <v>26</v>
      </c>
      <c r="D28">
        <v>7.7087483299999997</v>
      </c>
      <c r="E28">
        <v>7.0852760999999997</v>
      </c>
      <c r="F28" s="1">
        <v>11.625590000000001</v>
      </c>
      <c r="G28">
        <v>76.987699980000002</v>
      </c>
      <c r="I28" t="s">
        <v>78</v>
      </c>
      <c r="J28">
        <v>27</v>
      </c>
      <c r="K28" t="s">
        <v>32</v>
      </c>
      <c r="L28">
        <v>14.864661999999999</v>
      </c>
      <c r="M28">
        <v>8.1732089999999999</v>
      </c>
      <c r="N28">
        <v>17.321743999999999</v>
      </c>
      <c r="O28">
        <v>81.037648500000003</v>
      </c>
      <c r="Q28" t="s">
        <v>80</v>
      </c>
      <c r="R28">
        <v>27</v>
      </c>
      <c r="S28" t="s">
        <v>11</v>
      </c>
      <c r="T28">
        <v>7.7800193999999996</v>
      </c>
      <c r="U28">
        <v>8.2858744699999995</v>
      </c>
      <c r="V28">
        <v>11.897043099999999</v>
      </c>
      <c r="W28">
        <v>74.314708300000007</v>
      </c>
    </row>
    <row r="29" spans="1:23" x14ac:dyDescent="0.2">
      <c r="A29" t="s">
        <v>64</v>
      </c>
      <c r="B29">
        <v>28</v>
      </c>
      <c r="C29" t="s">
        <v>27</v>
      </c>
      <c r="D29">
        <v>6.0332558000000001</v>
      </c>
      <c r="E29">
        <v>9.5741718999999996</v>
      </c>
      <c r="F29" s="1">
        <v>11.540240000000001</v>
      </c>
      <c r="G29">
        <v>33.76500377</v>
      </c>
      <c r="I29" t="s">
        <v>78</v>
      </c>
      <c r="J29">
        <v>28</v>
      </c>
      <c r="K29" t="s">
        <v>47</v>
      </c>
      <c r="L29">
        <v>11.330982000000001</v>
      </c>
      <c r="M29">
        <v>13.635892</v>
      </c>
      <c r="N29">
        <v>17.301728000000001</v>
      </c>
      <c r="O29">
        <v>49.022789600000003</v>
      </c>
      <c r="Q29" t="s">
        <v>80</v>
      </c>
      <c r="R29">
        <v>28</v>
      </c>
      <c r="S29" t="s">
        <v>19</v>
      </c>
      <c r="T29">
        <v>8.3724623000000005</v>
      </c>
      <c r="U29">
        <v>7.7218411400000004</v>
      </c>
      <c r="V29">
        <v>11.634952</v>
      </c>
      <c r="W29">
        <v>41.410732699999997</v>
      </c>
    </row>
    <row r="30" spans="1:23" x14ac:dyDescent="0.2">
      <c r="A30" t="s">
        <v>64</v>
      </c>
      <c r="B30">
        <v>29</v>
      </c>
      <c r="C30" t="s">
        <v>28</v>
      </c>
      <c r="D30">
        <v>9.6029023000000002</v>
      </c>
      <c r="E30">
        <v>6.6289503999999999</v>
      </c>
      <c r="F30" s="1">
        <v>11.381460000000001</v>
      </c>
      <c r="G30">
        <v>84.259738440000007</v>
      </c>
      <c r="I30" t="s">
        <v>78</v>
      </c>
      <c r="J30">
        <v>29</v>
      </c>
      <c r="K30" t="s">
        <v>18</v>
      </c>
      <c r="L30">
        <v>4.0654849999999998</v>
      </c>
      <c r="M30">
        <v>14.920327</v>
      </c>
      <c r="N30">
        <v>16.954650000000001</v>
      </c>
      <c r="O30">
        <v>25.533246800000001</v>
      </c>
      <c r="Q30" t="s">
        <v>80</v>
      </c>
      <c r="R30">
        <v>29</v>
      </c>
      <c r="S30" t="s">
        <v>25</v>
      </c>
      <c r="T30">
        <v>10.9285519</v>
      </c>
      <c r="U30">
        <v>5.4927858799999996</v>
      </c>
      <c r="V30">
        <v>11.6173687</v>
      </c>
      <c r="W30">
        <v>73.649103499999995</v>
      </c>
    </row>
    <row r="31" spans="1:23" x14ac:dyDescent="0.2">
      <c r="A31" t="s">
        <v>64</v>
      </c>
      <c r="B31">
        <v>30</v>
      </c>
      <c r="C31" t="s">
        <v>29</v>
      </c>
      <c r="D31">
        <v>8.5740681799999994</v>
      </c>
      <c r="E31">
        <v>8.6355977999999993</v>
      </c>
      <c r="F31" s="1">
        <v>11.37527</v>
      </c>
      <c r="G31">
        <v>89.130056730000007</v>
      </c>
      <c r="I31" t="s">
        <v>78</v>
      </c>
      <c r="J31">
        <v>30</v>
      </c>
      <c r="K31" t="s">
        <v>29</v>
      </c>
      <c r="L31">
        <v>9.5048919999999999</v>
      </c>
      <c r="M31">
        <v>15.489134999999999</v>
      </c>
      <c r="N31">
        <v>16.909958</v>
      </c>
      <c r="O31">
        <v>94.257295200000002</v>
      </c>
      <c r="Q31" t="s">
        <v>80</v>
      </c>
      <c r="R31">
        <v>30</v>
      </c>
      <c r="S31" t="s">
        <v>44</v>
      </c>
      <c r="T31">
        <v>5.7634052000000002</v>
      </c>
      <c r="U31">
        <v>8.2455288899999992</v>
      </c>
      <c r="V31">
        <v>10.863658300000001</v>
      </c>
      <c r="W31">
        <v>50.880093299999999</v>
      </c>
    </row>
    <row r="32" spans="1:23" x14ac:dyDescent="0.2">
      <c r="A32" t="s">
        <v>64</v>
      </c>
      <c r="B32">
        <v>31</v>
      </c>
      <c r="C32" t="s">
        <v>30</v>
      </c>
      <c r="D32">
        <v>11.348258100000001</v>
      </c>
      <c r="E32">
        <v>2.9350619</v>
      </c>
      <c r="F32" s="1">
        <v>11.170059999999999</v>
      </c>
      <c r="G32">
        <v>75.408679430000007</v>
      </c>
      <c r="I32" t="s">
        <v>78</v>
      </c>
      <c r="J32">
        <v>31</v>
      </c>
      <c r="K32" t="s">
        <v>39</v>
      </c>
      <c r="L32">
        <v>13.79678</v>
      </c>
      <c r="M32">
        <v>9.5883590000000005</v>
      </c>
      <c r="N32">
        <v>16.566452999999999</v>
      </c>
      <c r="O32">
        <v>87.039852499999995</v>
      </c>
      <c r="Q32" t="s">
        <v>80</v>
      </c>
      <c r="R32">
        <v>31</v>
      </c>
      <c r="S32" t="s">
        <v>32</v>
      </c>
      <c r="T32">
        <v>9.8385914999999997</v>
      </c>
      <c r="U32">
        <v>4.8613448799999999</v>
      </c>
      <c r="V32">
        <v>10.8587262</v>
      </c>
      <c r="W32">
        <v>67.692514299999999</v>
      </c>
    </row>
    <row r="33" spans="1:23" x14ac:dyDescent="0.2">
      <c r="A33" t="s">
        <v>64</v>
      </c>
      <c r="B33">
        <v>32</v>
      </c>
      <c r="C33" t="s">
        <v>31</v>
      </c>
      <c r="D33">
        <v>10.898223059999999</v>
      </c>
      <c r="E33">
        <v>4.5136529999999997</v>
      </c>
      <c r="F33" s="1">
        <v>11.02608</v>
      </c>
      <c r="G33">
        <v>81.765830019999996</v>
      </c>
      <c r="I33" t="s">
        <v>78</v>
      </c>
      <c r="J33">
        <v>32</v>
      </c>
      <c r="K33" t="s">
        <v>16</v>
      </c>
      <c r="L33">
        <v>12.623136000000001</v>
      </c>
      <c r="M33">
        <v>10.005617000000001</v>
      </c>
      <c r="N33">
        <v>16.37895</v>
      </c>
      <c r="O33">
        <v>52.075304500000001</v>
      </c>
      <c r="Q33" t="s">
        <v>80</v>
      </c>
      <c r="R33">
        <v>32</v>
      </c>
      <c r="S33" t="s">
        <v>52</v>
      </c>
      <c r="T33">
        <v>7.6199094000000001</v>
      </c>
      <c r="U33">
        <v>7.1980312800000004</v>
      </c>
      <c r="V33">
        <v>10.6070575</v>
      </c>
      <c r="W33">
        <v>49.461890599999997</v>
      </c>
    </row>
    <row r="34" spans="1:23" x14ac:dyDescent="0.2">
      <c r="A34" t="s">
        <v>64</v>
      </c>
      <c r="B34">
        <v>33</v>
      </c>
      <c r="C34" t="s">
        <v>32</v>
      </c>
      <c r="D34">
        <v>7.2052804500000001</v>
      </c>
      <c r="E34">
        <v>7.2442393999999997</v>
      </c>
      <c r="F34" s="1">
        <v>10.998950000000001</v>
      </c>
      <c r="G34">
        <v>73.8915942</v>
      </c>
      <c r="I34" t="s">
        <v>78</v>
      </c>
      <c r="J34">
        <v>33</v>
      </c>
      <c r="K34" t="s">
        <v>35</v>
      </c>
      <c r="L34">
        <v>10.711917</v>
      </c>
      <c r="M34">
        <v>13.836888999999999</v>
      </c>
      <c r="N34">
        <v>16.222756</v>
      </c>
      <c r="O34">
        <v>92.0426705</v>
      </c>
      <c r="Q34" t="s">
        <v>80</v>
      </c>
      <c r="R34">
        <v>33</v>
      </c>
      <c r="S34" t="s">
        <v>22</v>
      </c>
      <c r="T34">
        <v>9.477176</v>
      </c>
      <c r="U34">
        <v>5.3537854500000002</v>
      </c>
      <c r="V34">
        <v>10.193227200000001</v>
      </c>
      <c r="W34">
        <v>38.606722699999999</v>
      </c>
    </row>
    <row r="35" spans="1:23" x14ac:dyDescent="0.2">
      <c r="A35" t="s">
        <v>64</v>
      </c>
      <c r="B35">
        <v>34</v>
      </c>
      <c r="C35" t="s">
        <v>33</v>
      </c>
      <c r="D35">
        <v>7.7520742199999999</v>
      </c>
      <c r="E35">
        <v>6.1399214999999998</v>
      </c>
      <c r="F35" s="1">
        <v>9.9622639999999993</v>
      </c>
      <c r="G35">
        <v>53.88787542</v>
      </c>
      <c r="I35" t="s">
        <v>78</v>
      </c>
      <c r="J35">
        <v>34</v>
      </c>
      <c r="K35" t="s">
        <v>25</v>
      </c>
      <c r="L35">
        <v>5.7252099999999997</v>
      </c>
      <c r="M35">
        <v>14.958437999999999</v>
      </c>
      <c r="N35">
        <v>15.925996</v>
      </c>
      <c r="O35">
        <v>87.324091999999993</v>
      </c>
      <c r="Q35" t="s">
        <v>80</v>
      </c>
      <c r="R35">
        <v>34</v>
      </c>
      <c r="S35" t="s">
        <v>23</v>
      </c>
      <c r="T35">
        <v>4.3887590999999997</v>
      </c>
      <c r="U35">
        <v>7.9066468600000004</v>
      </c>
      <c r="V35">
        <v>9.4520558000000001</v>
      </c>
      <c r="W35">
        <v>55.247718900000002</v>
      </c>
    </row>
    <row r="36" spans="1:23" x14ac:dyDescent="0.2">
      <c r="A36" t="s">
        <v>64</v>
      </c>
      <c r="B36">
        <v>35</v>
      </c>
      <c r="C36" t="s">
        <v>34</v>
      </c>
      <c r="D36">
        <v>7.31529177</v>
      </c>
      <c r="E36">
        <v>6.6674939000000002</v>
      </c>
      <c r="F36" s="1">
        <v>9.8511699999999998</v>
      </c>
      <c r="G36">
        <v>51.613298</v>
      </c>
      <c r="I36" t="s">
        <v>78</v>
      </c>
      <c r="J36">
        <v>35</v>
      </c>
      <c r="K36" t="s">
        <v>52</v>
      </c>
      <c r="L36">
        <v>8.7631449999999997</v>
      </c>
      <c r="M36">
        <v>11.720757000000001</v>
      </c>
      <c r="N36">
        <v>14.891176</v>
      </c>
      <c r="O36">
        <v>53.522814699999998</v>
      </c>
      <c r="Q36" t="s">
        <v>80</v>
      </c>
      <c r="R36">
        <v>35</v>
      </c>
      <c r="S36" t="s">
        <v>8</v>
      </c>
      <c r="T36">
        <v>8.4852369999999997</v>
      </c>
      <c r="U36">
        <v>2.53839828</v>
      </c>
      <c r="V36">
        <v>8.7530573999999994</v>
      </c>
      <c r="W36">
        <v>61.602283100000001</v>
      </c>
    </row>
    <row r="37" spans="1:23" x14ac:dyDescent="0.2">
      <c r="A37" t="s">
        <v>64</v>
      </c>
      <c r="B37">
        <v>36</v>
      </c>
      <c r="C37" t="s">
        <v>35</v>
      </c>
      <c r="D37">
        <v>7.9485832700000003</v>
      </c>
      <c r="E37">
        <v>5.8699997000000002</v>
      </c>
      <c r="F37" s="1">
        <v>9.677619</v>
      </c>
      <c r="G37">
        <v>83.958030919999999</v>
      </c>
      <c r="I37" t="s">
        <v>78</v>
      </c>
      <c r="J37">
        <v>36</v>
      </c>
      <c r="K37" t="s">
        <v>53</v>
      </c>
      <c r="L37">
        <v>9.9578229999999994</v>
      </c>
      <c r="M37">
        <v>10.048734</v>
      </c>
      <c r="N37">
        <v>14.753410000000001</v>
      </c>
      <c r="O37">
        <v>38.8166929</v>
      </c>
      <c r="Q37" t="s">
        <v>80</v>
      </c>
      <c r="R37">
        <v>36</v>
      </c>
      <c r="S37" t="s">
        <v>47</v>
      </c>
      <c r="T37">
        <v>5.0996591999999996</v>
      </c>
      <c r="U37">
        <v>7.31047051</v>
      </c>
      <c r="V37">
        <v>8.6465283999999993</v>
      </c>
      <c r="W37">
        <v>41.504349400000002</v>
      </c>
    </row>
    <row r="38" spans="1:23" x14ac:dyDescent="0.2">
      <c r="A38" t="s">
        <v>64</v>
      </c>
      <c r="B38">
        <v>37</v>
      </c>
      <c r="C38" t="s">
        <v>36</v>
      </c>
      <c r="D38">
        <v>1.42203787</v>
      </c>
      <c r="E38">
        <v>9.9737937999999993</v>
      </c>
      <c r="F38" s="1">
        <v>9.2190209999999997</v>
      </c>
      <c r="G38">
        <v>77.215016270000007</v>
      </c>
      <c r="I38" t="s">
        <v>78</v>
      </c>
      <c r="J38">
        <v>37</v>
      </c>
      <c r="K38" t="s">
        <v>44</v>
      </c>
      <c r="L38">
        <v>10.756049000000001</v>
      </c>
      <c r="M38">
        <v>11.844144</v>
      </c>
      <c r="N38">
        <v>14.666038</v>
      </c>
      <c r="O38">
        <v>41.3832059</v>
      </c>
      <c r="Q38" t="s">
        <v>80</v>
      </c>
      <c r="R38">
        <v>37</v>
      </c>
      <c r="S38" t="s">
        <v>40</v>
      </c>
      <c r="T38">
        <v>9.4308797999999996</v>
      </c>
      <c r="U38">
        <v>2.2379195799999998</v>
      </c>
      <c r="V38">
        <v>8.5989310000000003</v>
      </c>
      <c r="W38">
        <v>60.656095100000002</v>
      </c>
    </row>
    <row r="39" spans="1:23" x14ac:dyDescent="0.2">
      <c r="A39" t="s">
        <v>64</v>
      </c>
      <c r="B39">
        <v>38</v>
      </c>
      <c r="C39" t="s">
        <v>37</v>
      </c>
      <c r="D39">
        <v>7.5511918800000002</v>
      </c>
      <c r="E39">
        <v>5.7607347000000004</v>
      </c>
      <c r="F39" s="1">
        <v>8.9169129999999992</v>
      </c>
      <c r="G39">
        <v>29.604917239999999</v>
      </c>
      <c r="I39" t="s">
        <v>78</v>
      </c>
      <c r="J39">
        <v>38</v>
      </c>
      <c r="K39" t="s">
        <v>26</v>
      </c>
      <c r="L39">
        <v>10.707466</v>
      </c>
      <c r="M39">
        <v>8.4508179999999999</v>
      </c>
      <c r="N39">
        <v>14.641152999999999</v>
      </c>
      <c r="O39">
        <v>79.967390800000004</v>
      </c>
      <c r="Q39" t="s">
        <v>80</v>
      </c>
      <c r="R39">
        <v>38</v>
      </c>
      <c r="S39" t="s">
        <v>16</v>
      </c>
      <c r="T39">
        <v>7.2762190999999996</v>
      </c>
      <c r="U39">
        <v>3.8732256199999999</v>
      </c>
      <c r="V39">
        <v>8.5925431999999997</v>
      </c>
      <c r="W39">
        <v>49.630395</v>
      </c>
    </row>
    <row r="40" spans="1:23" x14ac:dyDescent="0.2">
      <c r="A40" t="s">
        <v>64</v>
      </c>
      <c r="B40">
        <v>39</v>
      </c>
      <c r="C40" t="s">
        <v>38</v>
      </c>
      <c r="D40">
        <v>4.4671481000000002</v>
      </c>
      <c r="E40">
        <v>7.7701928000000002</v>
      </c>
      <c r="F40" s="1">
        <v>8.8534210000000009</v>
      </c>
      <c r="G40">
        <v>20.959633759999999</v>
      </c>
      <c r="I40" t="s">
        <v>78</v>
      </c>
      <c r="J40">
        <v>39</v>
      </c>
      <c r="K40" t="s">
        <v>27</v>
      </c>
      <c r="L40">
        <v>8.023396</v>
      </c>
      <c r="M40">
        <v>11.983561999999999</v>
      </c>
      <c r="N40">
        <v>14.38838</v>
      </c>
      <c r="O40">
        <v>32.621921800000003</v>
      </c>
      <c r="Q40" t="s">
        <v>80</v>
      </c>
      <c r="R40">
        <v>39</v>
      </c>
      <c r="S40" t="s">
        <v>37</v>
      </c>
      <c r="T40">
        <v>7.3008138999999996</v>
      </c>
      <c r="U40">
        <v>4.1942858300000001</v>
      </c>
      <c r="V40">
        <v>8.3795570999999995</v>
      </c>
      <c r="W40">
        <v>41.043726100000001</v>
      </c>
    </row>
    <row r="41" spans="1:23" x14ac:dyDescent="0.2">
      <c r="A41" t="s">
        <v>64</v>
      </c>
      <c r="B41">
        <v>40</v>
      </c>
      <c r="C41" t="s">
        <v>39</v>
      </c>
      <c r="D41">
        <v>8.9959138700000008</v>
      </c>
      <c r="E41">
        <v>3.1122236999999999</v>
      </c>
      <c r="F41" s="1">
        <v>8.6318330000000003</v>
      </c>
      <c r="G41">
        <v>81.097858959999996</v>
      </c>
      <c r="I41" t="s">
        <v>78</v>
      </c>
      <c r="J41">
        <v>40</v>
      </c>
      <c r="K41" t="s">
        <v>20</v>
      </c>
      <c r="L41">
        <v>4.7484999999999999</v>
      </c>
      <c r="M41">
        <v>13.387245</v>
      </c>
      <c r="N41">
        <v>13.74488</v>
      </c>
      <c r="O41">
        <v>54.057282200000003</v>
      </c>
      <c r="Q41" t="s">
        <v>80</v>
      </c>
      <c r="R41">
        <v>40</v>
      </c>
      <c r="S41" t="s">
        <v>27</v>
      </c>
      <c r="T41">
        <v>0.98049679999999995</v>
      </c>
      <c r="U41">
        <v>9.2014280199999998</v>
      </c>
      <c r="V41">
        <v>8.2032948000000001</v>
      </c>
      <c r="W41">
        <v>39.961965499999998</v>
      </c>
    </row>
    <row r="42" spans="1:23" x14ac:dyDescent="0.2">
      <c r="A42" t="s">
        <v>64</v>
      </c>
      <c r="B42">
        <v>41</v>
      </c>
      <c r="C42" t="s">
        <v>40</v>
      </c>
      <c r="D42">
        <v>5.7126747099999999</v>
      </c>
      <c r="E42">
        <v>5.6140527000000002</v>
      </c>
      <c r="F42" s="1">
        <v>8.4017800000000005</v>
      </c>
      <c r="G42">
        <v>72.725971180000002</v>
      </c>
      <c r="I42" t="s">
        <v>78</v>
      </c>
      <c r="J42">
        <v>41</v>
      </c>
      <c r="K42" t="s">
        <v>19</v>
      </c>
      <c r="L42">
        <v>7.8910030000000004</v>
      </c>
      <c r="M42">
        <v>11.452381000000001</v>
      </c>
      <c r="N42">
        <v>13.265886999999999</v>
      </c>
      <c r="O42">
        <v>39.237717199999999</v>
      </c>
      <c r="Q42" t="s">
        <v>80</v>
      </c>
      <c r="R42">
        <v>41</v>
      </c>
      <c r="S42" t="s">
        <v>46</v>
      </c>
      <c r="T42">
        <v>4.0395228999999997</v>
      </c>
      <c r="U42">
        <v>7.3836912899999998</v>
      </c>
      <c r="V42">
        <v>8.0617421999999994</v>
      </c>
      <c r="W42">
        <v>67.668569000000005</v>
      </c>
    </row>
    <row r="43" spans="1:23" x14ac:dyDescent="0.2">
      <c r="A43" t="s">
        <v>64</v>
      </c>
      <c r="B43">
        <v>42</v>
      </c>
      <c r="C43" t="s">
        <v>41</v>
      </c>
      <c r="D43">
        <v>8.0827911399999994</v>
      </c>
      <c r="E43">
        <v>3.9434102000000002</v>
      </c>
      <c r="F43" s="1">
        <v>8.2978649999999998</v>
      </c>
      <c r="G43">
        <v>12.63899318</v>
      </c>
      <c r="I43" t="s">
        <v>78</v>
      </c>
      <c r="J43">
        <v>42</v>
      </c>
      <c r="K43" t="s">
        <v>51</v>
      </c>
      <c r="L43">
        <v>9.8066899999999997</v>
      </c>
      <c r="M43">
        <v>7.812538</v>
      </c>
      <c r="N43">
        <v>12.667206999999999</v>
      </c>
      <c r="O43">
        <v>18.166368599999998</v>
      </c>
      <c r="Q43" t="s">
        <v>80</v>
      </c>
      <c r="R43">
        <v>42</v>
      </c>
      <c r="S43" t="s">
        <v>29</v>
      </c>
      <c r="T43">
        <v>5.8907195999999997</v>
      </c>
      <c r="U43">
        <v>5.1970620800000003</v>
      </c>
      <c r="V43">
        <v>7.8971387000000002</v>
      </c>
      <c r="W43">
        <v>73.506628500000005</v>
      </c>
    </row>
    <row r="44" spans="1:23" x14ac:dyDescent="0.2">
      <c r="A44" t="s">
        <v>64</v>
      </c>
      <c r="B44">
        <v>43</v>
      </c>
      <c r="C44" t="s">
        <v>42</v>
      </c>
      <c r="D44">
        <v>2.88984072</v>
      </c>
      <c r="E44">
        <v>7.9502613999999996</v>
      </c>
      <c r="F44" s="1">
        <v>8.1278410000000001</v>
      </c>
      <c r="G44">
        <v>22.365120130000001</v>
      </c>
      <c r="I44" t="s">
        <v>78</v>
      </c>
      <c r="J44">
        <v>43</v>
      </c>
      <c r="K44" t="s">
        <v>36</v>
      </c>
      <c r="L44">
        <v>8.4567840000000007</v>
      </c>
      <c r="M44">
        <v>8.17056</v>
      </c>
      <c r="N44">
        <v>12.223029</v>
      </c>
      <c r="O44">
        <v>78.142197400000001</v>
      </c>
      <c r="Q44" t="s">
        <v>80</v>
      </c>
      <c r="R44">
        <v>43</v>
      </c>
      <c r="S44" t="s">
        <v>20</v>
      </c>
      <c r="T44">
        <v>7.2560893999999996</v>
      </c>
      <c r="U44">
        <v>4.0391609500000003</v>
      </c>
      <c r="V44">
        <v>7.6066573000000002</v>
      </c>
      <c r="W44">
        <v>44.830499400000001</v>
      </c>
    </row>
    <row r="45" spans="1:23" x14ac:dyDescent="0.2">
      <c r="A45" t="s">
        <v>64</v>
      </c>
      <c r="B45">
        <v>44</v>
      </c>
      <c r="C45" t="s">
        <v>43</v>
      </c>
      <c r="D45">
        <v>2.9954354099999998</v>
      </c>
      <c r="E45">
        <v>8.2274332000000001</v>
      </c>
      <c r="F45" s="1">
        <v>7.9397019999999996</v>
      </c>
      <c r="G45">
        <v>20.865210099999999</v>
      </c>
      <c r="I45" t="s">
        <v>78</v>
      </c>
      <c r="J45">
        <v>44</v>
      </c>
      <c r="K45" t="s">
        <v>45</v>
      </c>
      <c r="L45">
        <v>8.4970350000000003</v>
      </c>
      <c r="M45">
        <v>8.2436939999999996</v>
      </c>
      <c r="N45">
        <v>12.211254</v>
      </c>
      <c r="O45">
        <v>23.083920500000001</v>
      </c>
      <c r="Q45" t="s">
        <v>80</v>
      </c>
      <c r="R45">
        <v>44</v>
      </c>
      <c r="S45" t="s">
        <v>48</v>
      </c>
      <c r="T45">
        <v>5.5831404999999998</v>
      </c>
      <c r="U45">
        <v>4.4647266500000002</v>
      </c>
      <c r="V45">
        <v>7.5371442999999996</v>
      </c>
      <c r="W45">
        <v>30.155612399999999</v>
      </c>
    </row>
    <row r="46" spans="1:23" x14ac:dyDescent="0.2">
      <c r="A46" t="s">
        <v>64</v>
      </c>
      <c r="B46">
        <v>45</v>
      </c>
      <c r="C46" t="s">
        <v>44</v>
      </c>
      <c r="D46">
        <v>7.0887807799999996</v>
      </c>
      <c r="E46">
        <v>3.9380315000000001</v>
      </c>
      <c r="F46" s="1">
        <v>7.826892</v>
      </c>
      <c r="G46">
        <v>39.258985410000001</v>
      </c>
      <c r="I46" t="s">
        <v>78</v>
      </c>
      <c r="J46">
        <v>45</v>
      </c>
      <c r="K46" t="s">
        <v>37</v>
      </c>
      <c r="L46">
        <v>7.382701</v>
      </c>
      <c r="M46">
        <v>8.8505160000000007</v>
      </c>
      <c r="N46">
        <v>11.527195000000001</v>
      </c>
      <c r="O46">
        <v>31.2045654</v>
      </c>
      <c r="Q46" t="s">
        <v>80</v>
      </c>
      <c r="R46">
        <v>45</v>
      </c>
      <c r="S46" t="s">
        <v>60</v>
      </c>
      <c r="T46">
        <v>5.3121191999999997</v>
      </c>
      <c r="U46">
        <v>5.55982266</v>
      </c>
      <c r="V46">
        <v>7.4711319999999999</v>
      </c>
      <c r="W46">
        <v>14.765257200000001</v>
      </c>
    </row>
    <row r="47" spans="1:23" x14ac:dyDescent="0.2">
      <c r="A47" t="s">
        <v>64</v>
      </c>
      <c r="B47">
        <v>46</v>
      </c>
      <c r="C47" t="s">
        <v>45</v>
      </c>
      <c r="D47">
        <v>1.14024284</v>
      </c>
      <c r="E47">
        <v>8.2175387999999998</v>
      </c>
      <c r="F47" s="1">
        <v>7.6293420000000003</v>
      </c>
      <c r="G47">
        <v>17.846049659999998</v>
      </c>
      <c r="I47" t="s">
        <v>78</v>
      </c>
      <c r="J47">
        <v>46</v>
      </c>
      <c r="K47" t="s">
        <v>34</v>
      </c>
      <c r="L47">
        <v>12.28411</v>
      </c>
      <c r="M47">
        <v>2.9787910000000002</v>
      </c>
      <c r="N47">
        <v>11.391610999999999</v>
      </c>
      <c r="O47">
        <v>49.392507000000002</v>
      </c>
      <c r="Q47" t="s">
        <v>80</v>
      </c>
      <c r="R47">
        <v>46</v>
      </c>
      <c r="S47" t="s">
        <v>42</v>
      </c>
      <c r="T47">
        <v>2.4980030000000002</v>
      </c>
      <c r="U47">
        <v>7.6228356100000001</v>
      </c>
      <c r="V47">
        <v>6.8390684999999998</v>
      </c>
      <c r="W47">
        <v>19.370173900000001</v>
      </c>
    </row>
    <row r="48" spans="1:23" x14ac:dyDescent="0.2">
      <c r="A48" t="s">
        <v>64</v>
      </c>
      <c r="B48">
        <v>47</v>
      </c>
      <c r="C48" t="s">
        <v>46</v>
      </c>
      <c r="D48">
        <v>6.2667831100000004</v>
      </c>
      <c r="E48">
        <v>4.1552331000000002</v>
      </c>
      <c r="F48" s="1">
        <v>7.6275930000000001</v>
      </c>
      <c r="G48">
        <v>80.178005400000004</v>
      </c>
      <c r="I48" t="s">
        <v>78</v>
      </c>
      <c r="J48">
        <v>47</v>
      </c>
      <c r="K48" t="s">
        <v>48</v>
      </c>
      <c r="L48">
        <v>5.2195749999999999</v>
      </c>
      <c r="M48">
        <v>10.037902000000001</v>
      </c>
      <c r="N48">
        <v>11.382011</v>
      </c>
      <c r="O48">
        <v>29.042748199999998</v>
      </c>
      <c r="Q48" t="s">
        <v>80</v>
      </c>
      <c r="R48">
        <v>47</v>
      </c>
      <c r="S48" t="s">
        <v>41</v>
      </c>
      <c r="T48">
        <v>3.3928965999999998</v>
      </c>
      <c r="U48">
        <v>5.3253330300000004</v>
      </c>
      <c r="V48">
        <v>6.1104482000000004</v>
      </c>
      <c r="W48">
        <v>13.8126894</v>
      </c>
    </row>
    <row r="49" spans="1:23" x14ac:dyDescent="0.2">
      <c r="A49" t="s">
        <v>64</v>
      </c>
      <c r="B49">
        <v>48</v>
      </c>
      <c r="C49" t="s">
        <v>47</v>
      </c>
      <c r="D49">
        <v>6.25998023</v>
      </c>
      <c r="E49">
        <v>4.5213622999999998</v>
      </c>
      <c r="F49" s="1">
        <v>7.5618410000000003</v>
      </c>
      <c r="G49">
        <v>41.144865500000002</v>
      </c>
      <c r="I49" t="s">
        <v>78</v>
      </c>
      <c r="J49">
        <v>48</v>
      </c>
      <c r="K49" t="s">
        <v>54</v>
      </c>
      <c r="L49">
        <v>9.08202</v>
      </c>
      <c r="M49">
        <v>7.2061859999999998</v>
      </c>
      <c r="N49">
        <v>11.242620000000001</v>
      </c>
      <c r="O49">
        <v>20.851056400000001</v>
      </c>
      <c r="Q49" t="s">
        <v>80</v>
      </c>
      <c r="R49">
        <v>48</v>
      </c>
      <c r="S49" t="s">
        <v>58</v>
      </c>
      <c r="T49">
        <v>2.9943539000000001</v>
      </c>
      <c r="U49">
        <v>5.0821111099999996</v>
      </c>
      <c r="V49">
        <v>5.6659955999999996</v>
      </c>
      <c r="W49">
        <v>14.232117000000001</v>
      </c>
    </row>
    <row r="50" spans="1:23" x14ac:dyDescent="0.2">
      <c r="A50" t="s">
        <v>64</v>
      </c>
      <c r="B50">
        <v>49</v>
      </c>
      <c r="C50" t="s">
        <v>48</v>
      </c>
      <c r="D50">
        <v>6.75651592</v>
      </c>
      <c r="E50">
        <v>3.8048323000000002</v>
      </c>
      <c r="F50" s="1">
        <v>7.2636120000000002</v>
      </c>
      <c r="G50">
        <v>31.38662652</v>
      </c>
      <c r="I50" t="s">
        <v>78</v>
      </c>
      <c r="J50">
        <v>49</v>
      </c>
      <c r="K50" t="s">
        <v>50</v>
      </c>
      <c r="L50">
        <v>7.1468749999999996</v>
      </c>
      <c r="M50">
        <v>6.2077309999999999</v>
      </c>
      <c r="N50">
        <v>11.201358000000001</v>
      </c>
      <c r="O50">
        <v>18.722482400000001</v>
      </c>
      <c r="Q50" t="s">
        <v>80</v>
      </c>
      <c r="R50">
        <v>49</v>
      </c>
      <c r="S50" t="s">
        <v>54</v>
      </c>
      <c r="T50">
        <v>8.5872177999999995</v>
      </c>
      <c r="U50">
        <v>-2.0306512900000002</v>
      </c>
      <c r="V50">
        <v>5.1841407000000004</v>
      </c>
      <c r="W50">
        <v>22.7920926</v>
      </c>
    </row>
    <row r="51" spans="1:23" x14ac:dyDescent="0.2">
      <c r="A51" t="s">
        <v>64</v>
      </c>
      <c r="B51">
        <v>50</v>
      </c>
      <c r="C51" t="s">
        <v>49</v>
      </c>
      <c r="D51">
        <v>5.3691754400000002</v>
      </c>
      <c r="E51">
        <v>3.8745497000000002</v>
      </c>
      <c r="F51" s="1">
        <v>6.7557410000000004</v>
      </c>
      <c r="G51">
        <v>8.7313641400000002</v>
      </c>
      <c r="I51" t="s">
        <v>78</v>
      </c>
      <c r="J51">
        <v>50</v>
      </c>
      <c r="K51" t="s">
        <v>22</v>
      </c>
      <c r="L51">
        <v>7.1117910000000002</v>
      </c>
      <c r="M51">
        <v>9.1583749999999995</v>
      </c>
      <c r="N51">
        <v>11.155379999999999</v>
      </c>
      <c r="O51">
        <v>41.177776899999998</v>
      </c>
      <c r="Q51" t="s">
        <v>80</v>
      </c>
      <c r="R51">
        <v>50</v>
      </c>
      <c r="S51" t="s">
        <v>38</v>
      </c>
      <c r="T51">
        <v>0.81607839999999998</v>
      </c>
      <c r="U51">
        <v>5.5850319900000001</v>
      </c>
      <c r="V51">
        <v>4.7770738000000001</v>
      </c>
      <c r="W51">
        <v>24.691800799999999</v>
      </c>
    </row>
    <row r="52" spans="1:23" x14ac:dyDescent="0.2">
      <c r="A52" t="s">
        <v>64</v>
      </c>
      <c r="B52">
        <v>51</v>
      </c>
      <c r="C52" t="s">
        <v>50</v>
      </c>
      <c r="D52">
        <v>2.31765942</v>
      </c>
      <c r="E52">
        <v>5.6997394000000003</v>
      </c>
      <c r="F52" s="1">
        <v>6.5845079999999996</v>
      </c>
      <c r="G52">
        <v>16.856835740000001</v>
      </c>
      <c r="I52" t="s">
        <v>78</v>
      </c>
      <c r="J52">
        <v>51</v>
      </c>
      <c r="K52" t="s">
        <v>38</v>
      </c>
      <c r="L52">
        <v>4.2878249999999998</v>
      </c>
      <c r="M52">
        <v>9.1147089999999995</v>
      </c>
      <c r="N52">
        <v>10.063041</v>
      </c>
      <c r="O52">
        <v>20.700465300000001</v>
      </c>
      <c r="Q52" t="s">
        <v>80</v>
      </c>
      <c r="R52">
        <v>51</v>
      </c>
      <c r="S52" t="s">
        <v>53</v>
      </c>
      <c r="T52">
        <v>5.5083783000000004</v>
      </c>
      <c r="U52">
        <v>0.71220181000000005</v>
      </c>
      <c r="V52">
        <v>4.5857840999999997</v>
      </c>
      <c r="W52">
        <v>24.4854609</v>
      </c>
    </row>
    <row r="53" spans="1:23" x14ac:dyDescent="0.2">
      <c r="A53" t="s">
        <v>64</v>
      </c>
      <c r="B53">
        <v>52</v>
      </c>
      <c r="C53" t="s">
        <v>51</v>
      </c>
      <c r="D53">
        <v>4.14880169</v>
      </c>
      <c r="E53">
        <v>3.7456309999999999</v>
      </c>
      <c r="F53" s="1">
        <v>5.924086</v>
      </c>
      <c r="G53">
        <v>12.694288820000001</v>
      </c>
      <c r="I53" t="s">
        <v>78</v>
      </c>
      <c r="J53">
        <v>52</v>
      </c>
      <c r="K53" t="s">
        <v>42</v>
      </c>
      <c r="L53">
        <v>1.261663</v>
      </c>
      <c r="M53">
        <v>9.4816680000000009</v>
      </c>
      <c r="N53">
        <v>8.6596150000000005</v>
      </c>
      <c r="O53">
        <v>21.414426599999999</v>
      </c>
      <c r="Q53" t="s">
        <v>80</v>
      </c>
      <c r="R53">
        <v>52</v>
      </c>
      <c r="S53" t="s">
        <v>56</v>
      </c>
      <c r="T53">
        <v>9.9303208000000005</v>
      </c>
      <c r="U53">
        <v>-4.0835665700000003</v>
      </c>
      <c r="V53">
        <v>4.2240086000000003</v>
      </c>
      <c r="W53">
        <v>19.003078500000001</v>
      </c>
    </row>
    <row r="54" spans="1:23" x14ac:dyDescent="0.2">
      <c r="A54" t="s">
        <v>64</v>
      </c>
      <c r="B54">
        <v>53</v>
      </c>
      <c r="C54" t="s">
        <v>52</v>
      </c>
      <c r="D54">
        <v>3.99608695</v>
      </c>
      <c r="E54">
        <v>3.8776028999999999</v>
      </c>
      <c r="F54" s="1">
        <v>5.76675</v>
      </c>
      <c r="G54">
        <v>54.870921150000001</v>
      </c>
      <c r="I54" t="s">
        <v>78</v>
      </c>
      <c r="J54">
        <v>53</v>
      </c>
      <c r="K54" t="s">
        <v>56</v>
      </c>
      <c r="L54">
        <v>8.7950839999999992</v>
      </c>
      <c r="M54">
        <v>2.780246</v>
      </c>
      <c r="N54">
        <v>8.6353840000000002</v>
      </c>
      <c r="O54">
        <v>15.7225851</v>
      </c>
      <c r="Q54" t="s">
        <v>80</v>
      </c>
      <c r="R54">
        <v>53</v>
      </c>
      <c r="S54" t="s">
        <v>57</v>
      </c>
      <c r="T54">
        <v>3.9203087000000001</v>
      </c>
      <c r="U54">
        <v>1.4908715299999999</v>
      </c>
      <c r="V54">
        <v>3.8511201000000002</v>
      </c>
      <c r="W54">
        <v>1.9523686</v>
      </c>
    </row>
    <row r="55" spans="1:23" x14ac:dyDescent="0.2">
      <c r="A55" t="s">
        <v>64</v>
      </c>
      <c r="B55">
        <v>54</v>
      </c>
      <c r="C55" t="s">
        <v>53</v>
      </c>
      <c r="D55">
        <v>6.0819051399999999</v>
      </c>
      <c r="E55">
        <v>1.6979635</v>
      </c>
      <c r="F55" s="1">
        <v>5.6672289999999998</v>
      </c>
      <c r="G55">
        <v>27.64419637</v>
      </c>
      <c r="I55" t="s">
        <v>78</v>
      </c>
      <c r="J55">
        <v>54</v>
      </c>
      <c r="K55" t="s">
        <v>57</v>
      </c>
      <c r="L55">
        <v>3.7196250000000002</v>
      </c>
      <c r="M55">
        <v>6.4152670000000001</v>
      </c>
      <c r="N55">
        <v>6.8957839999999999</v>
      </c>
      <c r="O55">
        <v>2.0136235</v>
      </c>
      <c r="Q55" t="s">
        <v>80</v>
      </c>
      <c r="R55">
        <v>54</v>
      </c>
      <c r="S55" t="s">
        <v>33</v>
      </c>
      <c r="T55">
        <v>1.9471361</v>
      </c>
      <c r="U55">
        <v>3.5266152200000001</v>
      </c>
      <c r="V55">
        <v>3.8169358</v>
      </c>
      <c r="W55">
        <v>49.401230699999999</v>
      </c>
    </row>
    <row r="56" spans="1:23" x14ac:dyDescent="0.2">
      <c r="A56" t="s">
        <v>64</v>
      </c>
      <c r="B56">
        <v>55</v>
      </c>
      <c r="C56" t="s">
        <v>54</v>
      </c>
      <c r="D56">
        <v>3.5935878300000001</v>
      </c>
      <c r="E56">
        <v>4.0443034000000004</v>
      </c>
      <c r="F56" s="1">
        <v>5.6022980000000002</v>
      </c>
      <c r="G56">
        <v>21.11370449</v>
      </c>
      <c r="I56" t="s">
        <v>78</v>
      </c>
      <c r="J56">
        <v>55</v>
      </c>
      <c r="K56" t="s">
        <v>41</v>
      </c>
      <c r="L56">
        <v>4.5232640000000002</v>
      </c>
      <c r="M56">
        <v>4.7262110000000002</v>
      </c>
      <c r="N56">
        <v>6.6567740000000004</v>
      </c>
      <c r="O56">
        <v>11.886965500000001</v>
      </c>
      <c r="Q56" t="s">
        <v>80</v>
      </c>
      <c r="R56">
        <v>55</v>
      </c>
      <c r="S56" t="s">
        <v>55</v>
      </c>
      <c r="T56">
        <v>3.9606309</v>
      </c>
      <c r="U56">
        <v>0.97505691000000005</v>
      </c>
      <c r="V56">
        <v>3.6287685999999999</v>
      </c>
      <c r="W56">
        <v>9.1403344000000004</v>
      </c>
    </row>
    <row r="57" spans="1:23" x14ac:dyDescent="0.2">
      <c r="A57" t="s">
        <v>64</v>
      </c>
      <c r="B57">
        <v>56</v>
      </c>
      <c r="C57" t="s">
        <v>55</v>
      </c>
      <c r="D57">
        <v>4.3399013999999996</v>
      </c>
      <c r="E57">
        <v>3.8705631999999999</v>
      </c>
      <c r="F57" s="1">
        <v>5.5246849999999998</v>
      </c>
      <c r="G57">
        <v>6.3898959399999997</v>
      </c>
      <c r="I57" t="s">
        <v>78</v>
      </c>
      <c r="J57">
        <v>56</v>
      </c>
      <c r="K57" t="s">
        <v>58</v>
      </c>
      <c r="L57">
        <v>2.1561509999999999</v>
      </c>
      <c r="M57">
        <v>6.1833309999999999</v>
      </c>
      <c r="N57">
        <v>6.1681400000000002</v>
      </c>
      <c r="O57">
        <v>5.3773986000000003</v>
      </c>
      <c r="Q57" t="s">
        <v>80</v>
      </c>
      <c r="R57">
        <v>56</v>
      </c>
      <c r="S57" t="s">
        <v>50</v>
      </c>
      <c r="T57">
        <v>3.6196052000000001</v>
      </c>
      <c r="U57">
        <v>0.65624822000000005</v>
      </c>
      <c r="V57">
        <v>3.3233956999999998</v>
      </c>
      <c r="W57">
        <v>15.2165617</v>
      </c>
    </row>
    <row r="58" spans="1:23" x14ac:dyDescent="0.2">
      <c r="A58" t="s">
        <v>64</v>
      </c>
      <c r="B58">
        <v>57</v>
      </c>
      <c r="C58" t="s">
        <v>56</v>
      </c>
      <c r="D58">
        <v>-7.0328619999999994E-2</v>
      </c>
      <c r="E58">
        <v>3.2094073000000001</v>
      </c>
      <c r="F58" s="1">
        <v>2.55653</v>
      </c>
      <c r="G58">
        <v>15.22695598</v>
      </c>
      <c r="I58" t="s">
        <v>78</v>
      </c>
      <c r="J58">
        <v>57</v>
      </c>
      <c r="K58" t="s">
        <v>43</v>
      </c>
      <c r="L58">
        <v>2.9820730000000002</v>
      </c>
      <c r="M58">
        <v>4.3712160000000004</v>
      </c>
      <c r="N58">
        <v>5.3929650000000002</v>
      </c>
      <c r="O58">
        <v>18.495804100000001</v>
      </c>
      <c r="Q58" t="s">
        <v>80</v>
      </c>
      <c r="R58">
        <v>57</v>
      </c>
      <c r="S58" t="s">
        <v>43</v>
      </c>
      <c r="T58">
        <v>-1.4984077</v>
      </c>
      <c r="U58">
        <v>5.4877241999999997</v>
      </c>
      <c r="V58">
        <v>3.0311297000000001</v>
      </c>
      <c r="W58">
        <v>12.15554</v>
      </c>
    </row>
    <row r="59" spans="1:23" x14ac:dyDescent="0.2">
      <c r="A59" t="s">
        <v>64</v>
      </c>
      <c r="B59">
        <v>58</v>
      </c>
      <c r="C59" t="s">
        <v>57</v>
      </c>
      <c r="D59">
        <v>1.8710479799999999</v>
      </c>
      <c r="E59">
        <v>0.67579330000000004</v>
      </c>
      <c r="F59" s="1">
        <v>2.0855709999999998</v>
      </c>
      <c r="G59">
        <v>0.70249627000000003</v>
      </c>
      <c r="I59" t="s">
        <v>78</v>
      </c>
      <c r="J59">
        <v>58</v>
      </c>
      <c r="K59" t="s">
        <v>59</v>
      </c>
      <c r="L59">
        <v>3.0298799999999999</v>
      </c>
      <c r="M59">
        <v>3.4000620000000001</v>
      </c>
      <c r="N59">
        <v>4.6131510000000002</v>
      </c>
      <c r="O59">
        <v>12.557719499999999</v>
      </c>
      <c r="Q59" t="s">
        <v>80</v>
      </c>
      <c r="R59">
        <v>58</v>
      </c>
      <c r="S59" t="s">
        <v>59</v>
      </c>
      <c r="T59">
        <v>4.0947589000000004</v>
      </c>
      <c r="U59">
        <v>-6.1909949999999998E-2</v>
      </c>
      <c r="V59">
        <v>2.9678059000000001</v>
      </c>
      <c r="W59">
        <v>8.4411813000000002</v>
      </c>
    </row>
    <row r="60" spans="1:23" x14ac:dyDescent="0.2">
      <c r="A60" t="s">
        <v>64</v>
      </c>
      <c r="B60">
        <v>59</v>
      </c>
      <c r="C60" t="s">
        <v>58</v>
      </c>
      <c r="D60">
        <v>1.0451867100000001</v>
      </c>
      <c r="E60">
        <v>1.8661566999999999</v>
      </c>
      <c r="F60" s="1">
        <v>2.0152269999999999</v>
      </c>
      <c r="G60">
        <v>5.95730966</v>
      </c>
      <c r="I60" t="s">
        <v>78</v>
      </c>
      <c r="J60">
        <v>59</v>
      </c>
      <c r="K60" t="s">
        <v>55</v>
      </c>
      <c r="L60">
        <v>1.6028979999999999</v>
      </c>
      <c r="M60">
        <v>4.513109</v>
      </c>
      <c r="N60">
        <v>4.3669640000000003</v>
      </c>
      <c r="O60">
        <v>5.3147320999999996</v>
      </c>
      <c r="Q60" t="s">
        <v>80</v>
      </c>
      <c r="R60">
        <v>59</v>
      </c>
      <c r="S60" t="s">
        <v>45</v>
      </c>
      <c r="T60">
        <v>5.0288604000000001</v>
      </c>
      <c r="U60">
        <v>-1.1532901099999999</v>
      </c>
      <c r="V60">
        <v>2.8153527</v>
      </c>
      <c r="W60">
        <v>12.556727499999999</v>
      </c>
    </row>
    <row r="61" spans="1:23" x14ac:dyDescent="0.2">
      <c r="A61" t="s">
        <v>64</v>
      </c>
      <c r="B61">
        <v>60</v>
      </c>
      <c r="C61" t="s">
        <v>59</v>
      </c>
      <c r="D61">
        <v>1.08297931</v>
      </c>
      <c r="E61">
        <v>1.7192166</v>
      </c>
      <c r="F61" s="1">
        <v>1.940196</v>
      </c>
      <c r="G61">
        <v>7.95269212</v>
      </c>
      <c r="I61" t="s">
        <v>78</v>
      </c>
      <c r="J61">
        <v>60</v>
      </c>
      <c r="K61" t="s">
        <v>49</v>
      </c>
      <c r="L61">
        <v>1.8996390000000001</v>
      </c>
      <c r="M61">
        <v>3.1844420000000002</v>
      </c>
      <c r="N61">
        <v>3.5743520000000002</v>
      </c>
      <c r="O61">
        <v>0.68863149999999995</v>
      </c>
      <c r="Q61" t="s">
        <v>80</v>
      </c>
      <c r="R61">
        <v>60</v>
      </c>
      <c r="S61" t="s">
        <v>51</v>
      </c>
      <c r="T61">
        <v>0.20369209999999999</v>
      </c>
      <c r="U61">
        <v>3.39600232</v>
      </c>
      <c r="V61">
        <v>2.6442901999999999</v>
      </c>
      <c r="W61">
        <v>21.599622400000001</v>
      </c>
    </row>
    <row r="62" spans="1:23" x14ac:dyDescent="0.2">
      <c r="A62" t="s">
        <v>64</v>
      </c>
      <c r="B62">
        <v>61</v>
      </c>
      <c r="C62" t="s">
        <v>60</v>
      </c>
      <c r="D62">
        <v>0.84219317999999999</v>
      </c>
      <c r="E62">
        <v>0.37211100000000003</v>
      </c>
      <c r="F62" s="1">
        <v>0.90646349999999998</v>
      </c>
      <c r="G62">
        <v>2.8991109700000002</v>
      </c>
      <c r="I62" t="s">
        <v>78</v>
      </c>
      <c r="J62">
        <v>61</v>
      </c>
      <c r="K62" t="s">
        <v>60</v>
      </c>
      <c r="L62">
        <v>2.030287</v>
      </c>
      <c r="M62">
        <v>1.982224</v>
      </c>
      <c r="N62">
        <v>2.5912250000000001</v>
      </c>
      <c r="O62">
        <v>1.9407333</v>
      </c>
      <c r="Q62" t="s">
        <v>80</v>
      </c>
      <c r="R62">
        <v>61</v>
      </c>
      <c r="S62" t="s">
        <v>61</v>
      </c>
      <c r="T62">
        <v>-1.2580376</v>
      </c>
      <c r="U62">
        <v>3.0458747900000001</v>
      </c>
      <c r="V62">
        <v>1.7656046999999999</v>
      </c>
      <c r="W62">
        <v>0.75288029999999995</v>
      </c>
    </row>
    <row r="63" spans="1:23" x14ac:dyDescent="0.2">
      <c r="A63" t="s">
        <v>64</v>
      </c>
      <c r="B63">
        <v>62</v>
      </c>
      <c r="C63" t="s">
        <v>61</v>
      </c>
      <c r="D63">
        <v>-1.4170454100000001</v>
      </c>
      <c r="E63">
        <v>1.0181933000000001</v>
      </c>
      <c r="F63" s="1">
        <v>5.7104689999999995E-4</v>
      </c>
      <c r="G63">
        <v>0.37070851999999999</v>
      </c>
      <c r="I63" t="s">
        <v>78</v>
      </c>
      <c r="J63">
        <v>62</v>
      </c>
      <c r="K63" t="s">
        <v>61</v>
      </c>
      <c r="L63">
        <v>0</v>
      </c>
      <c r="M63">
        <v>2.24702</v>
      </c>
      <c r="N63">
        <v>2.247223</v>
      </c>
      <c r="O63">
        <v>0.24880849999999999</v>
      </c>
      <c r="Q63" t="s">
        <v>80</v>
      </c>
      <c r="R63">
        <v>62</v>
      </c>
      <c r="S63" t="s">
        <v>49</v>
      </c>
      <c r="T63">
        <v>3.6946238999999998</v>
      </c>
      <c r="U63">
        <v>-2.09294636</v>
      </c>
      <c r="V63">
        <v>0.67273289999999997</v>
      </c>
      <c r="W63">
        <v>3.0865670000000001</v>
      </c>
    </row>
    <row r="64" spans="1:23" x14ac:dyDescent="0.2">
      <c r="A64" t="s">
        <v>64</v>
      </c>
      <c r="B64">
        <v>63</v>
      </c>
      <c r="C64" t="s">
        <v>62</v>
      </c>
      <c r="D64">
        <v>0</v>
      </c>
      <c r="E64">
        <v>0</v>
      </c>
      <c r="F64" s="1">
        <v>0</v>
      </c>
      <c r="G64">
        <v>0</v>
      </c>
      <c r="I64" t="s">
        <v>78</v>
      </c>
      <c r="J64">
        <v>63</v>
      </c>
      <c r="K64" t="s">
        <v>62</v>
      </c>
      <c r="L64">
        <v>0</v>
      </c>
      <c r="M64">
        <v>0</v>
      </c>
      <c r="N64">
        <v>0</v>
      </c>
      <c r="O64">
        <v>0</v>
      </c>
      <c r="Q64" t="s">
        <v>80</v>
      </c>
      <c r="R64">
        <v>63</v>
      </c>
      <c r="S64" t="s">
        <v>62</v>
      </c>
      <c r="T64">
        <v>0</v>
      </c>
      <c r="U64">
        <v>0</v>
      </c>
      <c r="V64">
        <v>0</v>
      </c>
      <c r="W64">
        <v>0</v>
      </c>
    </row>
    <row r="65" spans="1:23" x14ac:dyDescent="0.2">
      <c r="A65" t="s">
        <v>64</v>
      </c>
      <c r="B65">
        <v>64</v>
      </c>
      <c r="C65" t="s">
        <v>63</v>
      </c>
      <c r="D65">
        <v>0</v>
      </c>
      <c r="E65">
        <v>0</v>
      </c>
      <c r="F65" s="1">
        <v>0</v>
      </c>
      <c r="G65">
        <v>6.7823419999999995E-2</v>
      </c>
      <c r="I65" t="s">
        <v>78</v>
      </c>
      <c r="J65">
        <v>64</v>
      </c>
      <c r="K65" t="s">
        <v>63</v>
      </c>
      <c r="L65">
        <v>0</v>
      </c>
      <c r="M65">
        <v>0</v>
      </c>
      <c r="N65">
        <v>0</v>
      </c>
      <c r="O65">
        <v>0</v>
      </c>
      <c r="Q65" t="s">
        <v>80</v>
      </c>
      <c r="R65">
        <v>64</v>
      </c>
      <c r="S65" t="s">
        <v>63</v>
      </c>
      <c r="T65">
        <v>0</v>
      </c>
      <c r="U65">
        <v>0</v>
      </c>
      <c r="V65">
        <v>0</v>
      </c>
      <c r="W65">
        <v>0.153805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B601-AD67-0748-B33A-72FB0228FA70}">
  <dimension ref="A1:AD95"/>
  <sheetViews>
    <sheetView topLeftCell="A54" workbookViewId="0">
      <selection activeCell="A61" sqref="A61:XFD62"/>
    </sheetView>
  </sheetViews>
  <sheetFormatPr baseColWidth="10" defaultRowHeight="16" x14ac:dyDescent="0.2"/>
  <cols>
    <col min="1" max="1" width="7.1640625" bestFit="1" customWidth="1"/>
    <col min="2" max="2" width="12.5" bestFit="1" customWidth="1"/>
    <col min="3" max="3" width="15" bestFit="1" customWidth="1"/>
    <col min="4" max="4" width="5.83203125" bestFit="1" customWidth="1"/>
    <col min="5" max="6" width="15" bestFit="1" customWidth="1"/>
    <col min="7" max="7" width="14" bestFit="1" customWidth="1"/>
    <col min="9" max="9" width="5.5" customWidth="1"/>
    <col min="17" max="17" width="5.6640625" customWidth="1"/>
  </cols>
  <sheetData>
    <row r="1" spans="1:28" s="10" customFormat="1" x14ac:dyDescent="0.2">
      <c r="A1" s="9" t="s">
        <v>82</v>
      </c>
    </row>
    <row r="2" spans="1:28" x14ac:dyDescent="0.2">
      <c r="A2" s="3" t="s">
        <v>83</v>
      </c>
      <c r="I2" s="3" t="s">
        <v>84</v>
      </c>
      <c r="Q2" s="3" t="s">
        <v>85</v>
      </c>
      <c r="Z2" t="s">
        <v>64</v>
      </c>
      <c r="AA2" t="s">
        <v>84</v>
      </c>
      <c r="AB2" t="s">
        <v>85</v>
      </c>
    </row>
    <row r="3" spans="1:28" x14ac:dyDescent="0.2">
      <c r="A3" s="3" t="s">
        <v>65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I3" s="3" t="s">
        <v>65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Q3" s="3" t="s">
        <v>65</v>
      </c>
      <c r="R3" s="3" t="s">
        <v>69</v>
      </c>
      <c r="S3" s="3" t="s">
        <v>70</v>
      </c>
      <c r="T3" s="3" t="s">
        <v>71</v>
      </c>
      <c r="U3" s="3" t="s">
        <v>72</v>
      </c>
      <c r="V3" s="3" t="s">
        <v>73</v>
      </c>
      <c r="W3" s="3" t="s">
        <v>74</v>
      </c>
      <c r="Y3" s="14" t="s">
        <v>0</v>
      </c>
      <c r="Z3" s="12">
        <f>MATCH($Y3,B$5:B$22,0)</f>
        <v>1</v>
      </c>
      <c r="AA3" s="12">
        <f>MATCH($Y3,J$5:J$23,0)</f>
        <v>1</v>
      </c>
      <c r="AB3" s="12">
        <f>MATCH($Y3,R$5:R$24,0)</f>
        <v>8</v>
      </c>
    </row>
    <row r="4" spans="1:28" x14ac:dyDescent="0.2">
      <c r="A4" s="2">
        <v>1</v>
      </c>
      <c r="B4" s="2" t="s">
        <v>79</v>
      </c>
      <c r="C4" s="2">
        <v>0.98322915</v>
      </c>
      <c r="D4" s="2">
        <v>0.95</v>
      </c>
      <c r="E4" s="2">
        <v>0.93997032000000003</v>
      </c>
      <c r="F4" s="2">
        <v>1.026856795</v>
      </c>
      <c r="G4" s="2">
        <v>0.98322915</v>
      </c>
      <c r="I4">
        <v>1</v>
      </c>
      <c r="J4" t="s">
        <v>79</v>
      </c>
      <c r="K4">
        <v>0.50896761999999995</v>
      </c>
      <c r="L4">
        <v>0.95</v>
      </c>
      <c r="M4">
        <v>0.46952575000000002</v>
      </c>
      <c r="N4">
        <v>0.54857531000000004</v>
      </c>
      <c r="O4">
        <v>0.50896761999999995</v>
      </c>
      <c r="Q4">
        <v>1</v>
      </c>
      <c r="R4" t="s">
        <v>79</v>
      </c>
      <c r="S4">
        <v>1.20493739</v>
      </c>
      <c r="T4">
        <v>0.95</v>
      </c>
      <c r="U4">
        <v>1.1596382430000001</v>
      </c>
      <c r="V4">
        <v>1.25072827</v>
      </c>
      <c r="W4">
        <v>1.20493739</v>
      </c>
      <c r="Y4" s="14" t="s">
        <v>2</v>
      </c>
      <c r="Z4" s="12">
        <f t="shared" ref="Z4:Z30" si="0">MATCH($Y4,B$5:B$22,0)</f>
        <v>2</v>
      </c>
      <c r="AA4" s="12">
        <f t="shared" ref="AA4:AA30" si="1">MATCH($Y4,J$5:J$23,0)</f>
        <v>6</v>
      </c>
      <c r="AB4" s="12">
        <f t="shared" ref="AB4:AB30" si="2">MATCH($Y4,R$5:R$24,0)</f>
        <v>1</v>
      </c>
    </row>
    <row r="5" spans="1:28" x14ac:dyDescent="0.2">
      <c r="A5" s="2">
        <v>2</v>
      </c>
      <c r="B5" s="2" t="s">
        <v>0</v>
      </c>
      <c r="C5" s="2">
        <v>-0.50813213000000002</v>
      </c>
      <c r="D5" s="2">
        <v>0.95</v>
      </c>
      <c r="E5" s="2">
        <v>-0.55388669000000001</v>
      </c>
      <c r="F5" s="2">
        <v>-0.462829934</v>
      </c>
      <c r="G5" s="2">
        <v>0.50813213000000002</v>
      </c>
      <c r="I5">
        <v>2</v>
      </c>
      <c r="J5" t="s">
        <v>0</v>
      </c>
      <c r="K5">
        <v>-0.36109871999999998</v>
      </c>
      <c r="L5">
        <v>0.95</v>
      </c>
      <c r="M5">
        <v>-0.40097538999999999</v>
      </c>
      <c r="N5">
        <v>-0.32147265000000003</v>
      </c>
      <c r="O5">
        <v>0.36109871999999998</v>
      </c>
      <c r="Q5">
        <v>2</v>
      </c>
      <c r="R5" t="s">
        <v>2</v>
      </c>
      <c r="S5">
        <v>0.33661859</v>
      </c>
      <c r="T5">
        <v>0.95</v>
      </c>
      <c r="U5">
        <v>0.27279989999999998</v>
      </c>
      <c r="V5">
        <v>0.40182135000000002</v>
      </c>
      <c r="W5">
        <v>0.33661859</v>
      </c>
      <c r="Y5" s="13" t="s">
        <v>16</v>
      </c>
      <c r="Z5">
        <f t="shared" si="0"/>
        <v>3</v>
      </c>
      <c r="AA5" t="e">
        <f t="shared" si="1"/>
        <v>#N/A</v>
      </c>
      <c r="AB5" t="e">
        <f t="shared" si="2"/>
        <v>#N/A</v>
      </c>
    </row>
    <row r="6" spans="1:28" x14ac:dyDescent="0.2">
      <c r="A6" s="2">
        <v>3</v>
      </c>
      <c r="B6" s="2" t="s">
        <v>2</v>
      </c>
      <c r="C6" s="2">
        <v>0.35144136999999998</v>
      </c>
      <c r="D6" s="2">
        <v>0.95</v>
      </c>
      <c r="E6" s="2">
        <v>0.28665715000000003</v>
      </c>
      <c r="F6" s="2">
        <v>0.41704017599999998</v>
      </c>
      <c r="G6" s="2">
        <v>0.35144136999999998</v>
      </c>
      <c r="I6">
        <v>3</v>
      </c>
      <c r="J6" t="s">
        <v>12</v>
      </c>
      <c r="K6">
        <v>0.33538224</v>
      </c>
      <c r="L6">
        <v>0.95</v>
      </c>
      <c r="M6">
        <v>0.29113907</v>
      </c>
      <c r="N6">
        <v>0.37993144000000001</v>
      </c>
      <c r="O6">
        <v>0.33538224</v>
      </c>
      <c r="Q6">
        <v>3</v>
      </c>
      <c r="R6" t="s">
        <v>5</v>
      </c>
      <c r="S6">
        <v>0.31368617999999998</v>
      </c>
      <c r="T6">
        <v>0.95</v>
      </c>
      <c r="U6">
        <v>0.25504366099999998</v>
      </c>
      <c r="V6">
        <v>0.37328541999999998</v>
      </c>
      <c r="W6">
        <v>0.31368617999999998</v>
      </c>
      <c r="Y6" s="14" t="s">
        <v>1</v>
      </c>
      <c r="Z6" s="12">
        <f t="shared" si="0"/>
        <v>4</v>
      </c>
      <c r="AA6" s="12">
        <f t="shared" si="1"/>
        <v>5</v>
      </c>
      <c r="AB6" s="12">
        <f t="shared" si="2"/>
        <v>5</v>
      </c>
    </row>
    <row r="7" spans="1:28" x14ac:dyDescent="0.2">
      <c r="A7" s="2">
        <v>4</v>
      </c>
      <c r="B7" s="2" t="s">
        <v>16</v>
      </c>
      <c r="C7" s="2">
        <v>-0.25673371</v>
      </c>
      <c r="D7" s="2">
        <v>0.95</v>
      </c>
      <c r="E7" s="2">
        <v>-0.31893991999999999</v>
      </c>
      <c r="F7" s="2">
        <v>-0.19471583100000001</v>
      </c>
      <c r="G7" s="2">
        <v>0.25673371</v>
      </c>
      <c r="I7">
        <v>4</v>
      </c>
      <c r="J7" t="s">
        <v>9</v>
      </c>
      <c r="K7">
        <v>-0.26541294999999998</v>
      </c>
      <c r="L7">
        <v>0.95</v>
      </c>
      <c r="M7">
        <v>-0.32523932999999999</v>
      </c>
      <c r="N7">
        <v>-0.20565527</v>
      </c>
      <c r="O7">
        <v>0.26541294999999998</v>
      </c>
      <c r="Q7">
        <v>4</v>
      </c>
      <c r="R7" t="s">
        <v>4</v>
      </c>
      <c r="S7">
        <v>-0.21812728000000001</v>
      </c>
      <c r="T7">
        <v>0.95</v>
      </c>
      <c r="U7">
        <v>-0.263452505</v>
      </c>
      <c r="V7">
        <v>-0.17288102</v>
      </c>
      <c r="W7">
        <v>0.21812728000000001</v>
      </c>
      <c r="Y7" s="14" t="s">
        <v>4</v>
      </c>
      <c r="Z7" s="12">
        <f t="shared" si="0"/>
        <v>5</v>
      </c>
      <c r="AA7" s="12">
        <f t="shared" si="1"/>
        <v>7</v>
      </c>
      <c r="AB7" s="12">
        <f t="shared" si="2"/>
        <v>3</v>
      </c>
    </row>
    <row r="8" spans="1:28" x14ac:dyDescent="0.2">
      <c r="A8" s="2">
        <v>5</v>
      </c>
      <c r="B8" s="2" t="s">
        <v>1</v>
      </c>
      <c r="C8" s="2">
        <v>0.23339505999999999</v>
      </c>
      <c r="D8" s="2">
        <v>0.95</v>
      </c>
      <c r="E8" s="2">
        <v>0.18483108000000001</v>
      </c>
      <c r="F8" s="2">
        <v>0.282306795</v>
      </c>
      <c r="G8" s="2">
        <v>0.23339505999999999</v>
      </c>
      <c r="I8">
        <v>5</v>
      </c>
      <c r="J8" t="s">
        <v>13</v>
      </c>
      <c r="K8">
        <v>0.25155006000000002</v>
      </c>
      <c r="L8">
        <v>0.95</v>
      </c>
      <c r="M8">
        <v>0.19855595000000001</v>
      </c>
      <c r="N8">
        <v>0.30470905999999998</v>
      </c>
      <c r="O8">
        <v>0.25155006000000002</v>
      </c>
      <c r="Q8">
        <v>5</v>
      </c>
      <c r="R8" t="s">
        <v>21</v>
      </c>
      <c r="S8">
        <v>0.21266856000000001</v>
      </c>
      <c r="T8">
        <v>0.95</v>
      </c>
      <c r="U8">
        <v>0.15962486000000001</v>
      </c>
      <c r="V8">
        <v>0.26619544000000001</v>
      </c>
      <c r="W8">
        <v>0.21266856000000001</v>
      </c>
      <c r="Y8" s="14" t="s">
        <v>3</v>
      </c>
      <c r="Z8" s="12">
        <f t="shared" si="0"/>
        <v>6</v>
      </c>
      <c r="AA8" s="12">
        <f t="shared" si="1"/>
        <v>8</v>
      </c>
      <c r="AB8" s="12">
        <f t="shared" si="2"/>
        <v>9</v>
      </c>
    </row>
    <row r="9" spans="1:28" x14ac:dyDescent="0.2">
      <c r="A9" s="2">
        <v>6</v>
      </c>
      <c r="B9" s="2" t="s">
        <v>4</v>
      </c>
      <c r="C9" s="2">
        <v>-0.18960995999999999</v>
      </c>
      <c r="D9" s="2">
        <v>0.95</v>
      </c>
      <c r="E9" s="2">
        <v>-0.23429106999999999</v>
      </c>
      <c r="F9" s="2">
        <v>-0.14501415400000001</v>
      </c>
      <c r="G9" s="2">
        <v>0.18960995999999999</v>
      </c>
      <c r="I9">
        <v>6</v>
      </c>
      <c r="J9" t="s">
        <v>1</v>
      </c>
      <c r="K9">
        <v>0.23816509</v>
      </c>
      <c r="L9">
        <v>0.95</v>
      </c>
      <c r="M9">
        <v>0.18696259000000001</v>
      </c>
      <c r="N9">
        <v>0.28975140999999999</v>
      </c>
      <c r="O9">
        <v>0.23816509</v>
      </c>
      <c r="Q9">
        <v>6</v>
      </c>
      <c r="R9" t="s">
        <v>1</v>
      </c>
      <c r="S9">
        <v>0.19537925</v>
      </c>
      <c r="T9">
        <v>0.95</v>
      </c>
      <c r="U9">
        <v>0.138840714</v>
      </c>
      <c r="V9">
        <v>0.25215836000000003</v>
      </c>
      <c r="W9">
        <v>0.19537925</v>
      </c>
      <c r="Y9" s="13" t="s">
        <v>19</v>
      </c>
      <c r="Z9">
        <f t="shared" si="0"/>
        <v>7</v>
      </c>
      <c r="AA9" t="e">
        <f t="shared" si="1"/>
        <v>#N/A</v>
      </c>
      <c r="AB9" t="e">
        <f t="shared" si="2"/>
        <v>#N/A</v>
      </c>
    </row>
    <row r="10" spans="1:28" x14ac:dyDescent="0.2">
      <c r="A10" s="2">
        <v>7</v>
      </c>
      <c r="B10" s="2" t="s">
        <v>3</v>
      </c>
      <c r="C10" s="2">
        <v>-0.18419131</v>
      </c>
      <c r="D10" s="2">
        <v>0.95</v>
      </c>
      <c r="E10" s="2">
        <v>-0.22503590000000001</v>
      </c>
      <c r="F10" s="2">
        <v>-0.143419726</v>
      </c>
      <c r="G10" s="2">
        <v>0.18419131</v>
      </c>
      <c r="I10">
        <v>7</v>
      </c>
      <c r="J10" t="s">
        <v>2</v>
      </c>
      <c r="K10">
        <v>0.23601021999999999</v>
      </c>
      <c r="L10">
        <v>0.95</v>
      </c>
      <c r="M10">
        <v>0.18703754</v>
      </c>
      <c r="N10">
        <v>0.2863407</v>
      </c>
      <c r="O10">
        <v>0.23601021999999999</v>
      </c>
      <c r="Q10">
        <v>7</v>
      </c>
      <c r="R10" t="s">
        <v>9</v>
      </c>
      <c r="S10">
        <v>-0.17436359000000001</v>
      </c>
      <c r="T10">
        <v>0.95</v>
      </c>
      <c r="U10">
        <v>-0.235222085</v>
      </c>
      <c r="V10">
        <v>-0.11340939999999999</v>
      </c>
      <c r="W10">
        <v>0.17436359000000001</v>
      </c>
      <c r="Y10" s="14" t="s">
        <v>7</v>
      </c>
      <c r="Z10" s="12">
        <f t="shared" si="0"/>
        <v>8</v>
      </c>
      <c r="AA10" s="12">
        <f t="shared" si="1"/>
        <v>14</v>
      </c>
      <c r="AB10" s="12">
        <f t="shared" si="2"/>
        <v>19</v>
      </c>
    </row>
    <row r="11" spans="1:28" x14ac:dyDescent="0.2">
      <c r="A11" s="2">
        <v>8</v>
      </c>
      <c r="B11" s="2" t="s">
        <v>19</v>
      </c>
      <c r="C11" s="2">
        <v>0.15877193000000001</v>
      </c>
      <c r="D11" s="2">
        <v>0.95</v>
      </c>
      <c r="E11" s="2">
        <v>0.10562270999999999</v>
      </c>
      <c r="F11" s="2">
        <v>0.21309193000000001</v>
      </c>
      <c r="G11" s="2">
        <v>0.15877193000000001</v>
      </c>
      <c r="I11">
        <v>8</v>
      </c>
      <c r="J11" t="s">
        <v>4</v>
      </c>
      <c r="K11">
        <v>-0.18991442</v>
      </c>
      <c r="L11">
        <v>0.95</v>
      </c>
      <c r="M11">
        <v>-0.23277359</v>
      </c>
      <c r="N11">
        <v>-0.14716172</v>
      </c>
      <c r="O11">
        <v>0.18991442</v>
      </c>
      <c r="Q11">
        <v>8</v>
      </c>
      <c r="R11" t="s">
        <v>28</v>
      </c>
      <c r="S11">
        <v>0.16716723999999999</v>
      </c>
      <c r="T11">
        <v>0.95</v>
      </c>
      <c r="U11">
        <v>0.116878204</v>
      </c>
      <c r="V11">
        <v>0.21808377000000001</v>
      </c>
      <c r="W11">
        <v>0.16716723999999999</v>
      </c>
      <c r="Y11" s="13" t="s">
        <v>12</v>
      </c>
      <c r="Z11">
        <f t="shared" si="0"/>
        <v>9</v>
      </c>
      <c r="AA11">
        <f t="shared" si="1"/>
        <v>2</v>
      </c>
      <c r="AB11" t="e">
        <f t="shared" si="2"/>
        <v>#N/A</v>
      </c>
    </row>
    <row r="12" spans="1:28" x14ac:dyDescent="0.2">
      <c r="A12" s="2">
        <v>9</v>
      </c>
      <c r="B12" s="2" t="s">
        <v>7</v>
      </c>
      <c r="C12" s="2">
        <v>0.15430543999999999</v>
      </c>
      <c r="D12" s="2">
        <v>0.95</v>
      </c>
      <c r="E12" s="2">
        <v>9.7283060000000005E-2</v>
      </c>
      <c r="F12" s="2">
        <v>0.21155945800000001</v>
      </c>
      <c r="G12" s="2">
        <v>0.15430543999999999</v>
      </c>
      <c r="I12">
        <v>9</v>
      </c>
      <c r="J12" t="s">
        <v>3</v>
      </c>
      <c r="K12">
        <v>-0.16906708000000001</v>
      </c>
      <c r="L12">
        <v>0.95</v>
      </c>
      <c r="M12">
        <v>-0.21047099999999999</v>
      </c>
      <c r="N12">
        <v>-0.12791836000000001</v>
      </c>
      <c r="O12">
        <v>0.16906708000000001</v>
      </c>
      <c r="Q12">
        <v>9</v>
      </c>
      <c r="R12" t="s">
        <v>0</v>
      </c>
      <c r="S12">
        <v>-0.16103476</v>
      </c>
      <c r="T12">
        <v>0.95</v>
      </c>
      <c r="U12">
        <v>-0.203156843</v>
      </c>
      <c r="V12">
        <v>-0.11878089999999999</v>
      </c>
      <c r="W12">
        <v>0.16103476</v>
      </c>
      <c r="Y12" s="14" t="s">
        <v>15</v>
      </c>
      <c r="Z12" s="12">
        <f t="shared" si="0"/>
        <v>10</v>
      </c>
      <c r="AA12" s="12">
        <f t="shared" si="1"/>
        <v>15</v>
      </c>
      <c r="AB12" s="12">
        <f t="shared" si="2"/>
        <v>14</v>
      </c>
    </row>
    <row r="13" spans="1:28" x14ac:dyDescent="0.2">
      <c r="A13" s="2">
        <v>10</v>
      </c>
      <c r="B13" s="2" t="s">
        <v>12</v>
      </c>
      <c r="C13" s="2">
        <v>0.13264880000000001</v>
      </c>
      <c r="D13" s="2">
        <v>0.95</v>
      </c>
      <c r="E13" s="2">
        <v>8.791889E-2</v>
      </c>
      <c r="F13" s="2">
        <v>0.177633337</v>
      </c>
      <c r="G13" s="2">
        <v>0.13264880000000001</v>
      </c>
      <c r="I13">
        <v>10</v>
      </c>
      <c r="J13" t="s">
        <v>5</v>
      </c>
      <c r="K13">
        <v>0.15883913</v>
      </c>
      <c r="L13">
        <v>0.95</v>
      </c>
      <c r="M13">
        <v>0.11222714</v>
      </c>
      <c r="N13">
        <v>0.20595240000000001</v>
      </c>
      <c r="O13">
        <v>0.15883913</v>
      </c>
      <c r="Q13">
        <v>10</v>
      </c>
      <c r="R13" t="s">
        <v>3</v>
      </c>
      <c r="S13">
        <v>-0.15542091</v>
      </c>
      <c r="T13">
        <v>0.95</v>
      </c>
      <c r="U13">
        <v>-0.20154884100000001</v>
      </c>
      <c r="V13">
        <v>-0.10928823</v>
      </c>
      <c r="W13">
        <v>0.15542091</v>
      </c>
      <c r="Y13" s="14" t="s">
        <v>5</v>
      </c>
      <c r="Z13" s="12">
        <f t="shared" si="0"/>
        <v>11</v>
      </c>
      <c r="AA13" s="12">
        <f t="shared" si="1"/>
        <v>9</v>
      </c>
      <c r="AB13" s="12">
        <f t="shared" si="2"/>
        <v>2</v>
      </c>
    </row>
    <row r="14" spans="1:28" x14ac:dyDescent="0.2">
      <c r="A14" s="2">
        <v>11</v>
      </c>
      <c r="B14" s="2" t="s">
        <v>15</v>
      </c>
      <c r="C14" s="2">
        <v>0.13149387000000001</v>
      </c>
      <c r="D14" s="2">
        <v>0.95</v>
      </c>
      <c r="E14" s="2">
        <v>7.9258149999999999E-2</v>
      </c>
      <c r="F14" s="2">
        <v>0.18424459700000001</v>
      </c>
      <c r="G14" s="2">
        <v>0.13149387000000001</v>
      </c>
      <c r="I14">
        <v>11</v>
      </c>
      <c r="J14" t="s">
        <v>11</v>
      </c>
      <c r="K14">
        <v>-0.14787090999999999</v>
      </c>
      <c r="L14">
        <v>0.95</v>
      </c>
      <c r="M14">
        <v>-0.19692129999999999</v>
      </c>
      <c r="N14">
        <v>-9.8872570000000007E-2</v>
      </c>
      <c r="O14">
        <v>0.14787090999999999</v>
      </c>
      <c r="Q14">
        <v>11</v>
      </c>
      <c r="R14" t="s">
        <v>13</v>
      </c>
      <c r="S14">
        <v>0.13321884000000001</v>
      </c>
      <c r="T14">
        <v>0.95</v>
      </c>
      <c r="U14">
        <v>6.7303927999999999E-2</v>
      </c>
      <c r="V14">
        <v>0.19965865999999999</v>
      </c>
      <c r="W14">
        <v>0.13321884000000001</v>
      </c>
      <c r="Y14" s="14" t="s">
        <v>9</v>
      </c>
      <c r="Z14" s="12">
        <f t="shared" si="0"/>
        <v>12</v>
      </c>
      <c r="AA14" s="12">
        <f t="shared" si="1"/>
        <v>3</v>
      </c>
      <c r="AB14" s="12">
        <f t="shared" si="2"/>
        <v>6</v>
      </c>
    </row>
    <row r="15" spans="1:28" x14ac:dyDescent="0.2">
      <c r="A15" s="2">
        <v>12</v>
      </c>
      <c r="B15" s="2" t="s">
        <v>5</v>
      </c>
      <c r="C15" s="2">
        <v>0.11515591999999999</v>
      </c>
      <c r="D15" s="2">
        <v>0.95</v>
      </c>
      <c r="E15" s="2">
        <v>6.5292840000000005E-2</v>
      </c>
      <c r="F15" s="2">
        <v>0.165755334</v>
      </c>
      <c r="G15" s="2">
        <v>0.11515591999999999</v>
      </c>
      <c r="I15">
        <v>12</v>
      </c>
      <c r="J15" t="s">
        <v>28</v>
      </c>
      <c r="K15">
        <v>0.11616004000000001</v>
      </c>
      <c r="L15">
        <v>0.95</v>
      </c>
      <c r="M15">
        <v>7.1010080000000003E-2</v>
      </c>
      <c r="N15">
        <v>0.16171543999999999</v>
      </c>
      <c r="O15">
        <v>0.11616004000000001</v>
      </c>
      <c r="Q15">
        <v>12</v>
      </c>
      <c r="R15" t="s">
        <v>39</v>
      </c>
      <c r="S15">
        <v>-0.10879939</v>
      </c>
      <c r="T15">
        <v>0.95</v>
      </c>
      <c r="U15">
        <v>-0.15592049899999999</v>
      </c>
      <c r="V15">
        <v>-6.1588219999999999E-2</v>
      </c>
      <c r="W15">
        <v>0.10879939</v>
      </c>
      <c r="Y15" s="13" t="s">
        <v>10</v>
      </c>
      <c r="Z15">
        <f t="shared" si="0"/>
        <v>13</v>
      </c>
      <c r="AA15">
        <f t="shared" si="1"/>
        <v>16</v>
      </c>
      <c r="AB15" t="e">
        <f t="shared" si="2"/>
        <v>#N/A</v>
      </c>
    </row>
    <row r="16" spans="1:28" x14ac:dyDescent="0.2">
      <c r="A16" s="2">
        <v>13</v>
      </c>
      <c r="B16" s="2" t="s">
        <v>9</v>
      </c>
      <c r="C16" s="2">
        <v>8.7186940000000004E-2</v>
      </c>
      <c r="D16" s="2">
        <v>0.95</v>
      </c>
      <c r="E16" s="2">
        <v>1.1867910000000001E-2</v>
      </c>
      <c r="F16" s="2">
        <v>0.16276570200000001</v>
      </c>
      <c r="G16" s="2">
        <v>8.7186940000000004E-2</v>
      </c>
      <c r="I16">
        <v>13</v>
      </c>
      <c r="J16" t="s">
        <v>6</v>
      </c>
      <c r="K16">
        <v>-0.11159674</v>
      </c>
      <c r="L16">
        <v>0.95</v>
      </c>
      <c r="M16">
        <v>-0.17765702999999999</v>
      </c>
      <c r="N16">
        <v>-4.5674190000000003E-2</v>
      </c>
      <c r="O16">
        <v>0.11159674</v>
      </c>
      <c r="Q16" s="7">
        <v>13</v>
      </c>
      <c r="R16" s="7" t="s">
        <v>6</v>
      </c>
      <c r="S16" s="7">
        <v>-0.10495904</v>
      </c>
      <c r="T16" s="7">
        <v>0.95</v>
      </c>
      <c r="U16" s="7">
        <v>-0.175678479</v>
      </c>
      <c r="V16" s="7">
        <v>-3.3846719999999997E-2</v>
      </c>
      <c r="W16" s="7">
        <v>0.10495904</v>
      </c>
      <c r="Y16" s="14" t="s">
        <v>6</v>
      </c>
      <c r="Z16" s="12">
        <f t="shared" si="0"/>
        <v>14</v>
      </c>
      <c r="AA16" s="12">
        <f t="shared" si="1"/>
        <v>12</v>
      </c>
      <c r="AB16" s="12">
        <f t="shared" si="2"/>
        <v>12</v>
      </c>
    </row>
    <row r="17" spans="1:28" x14ac:dyDescent="0.2">
      <c r="A17" s="2">
        <v>14</v>
      </c>
      <c r="B17" s="2" t="s">
        <v>10</v>
      </c>
      <c r="C17" s="2">
        <v>-4.8511869999999999E-2</v>
      </c>
      <c r="D17" s="2">
        <v>0.95</v>
      </c>
      <c r="E17" s="2">
        <v>-9.3734189999999995E-2</v>
      </c>
      <c r="F17" s="2">
        <v>-3.0953640000000002E-3</v>
      </c>
      <c r="G17" s="2">
        <v>4.8511869999999999E-2</v>
      </c>
      <c r="I17">
        <v>14</v>
      </c>
      <c r="J17" t="s">
        <v>31</v>
      </c>
      <c r="K17">
        <v>-9.5617659999999993E-2</v>
      </c>
      <c r="L17">
        <v>0.95</v>
      </c>
      <c r="M17">
        <v>-0.15061392000000001</v>
      </c>
      <c r="N17">
        <v>-4.056825E-2</v>
      </c>
      <c r="O17">
        <v>9.5617659999999993E-2</v>
      </c>
      <c r="Q17">
        <v>14</v>
      </c>
      <c r="R17" t="s">
        <v>14</v>
      </c>
      <c r="S17">
        <v>-7.5430499999999998E-2</v>
      </c>
      <c r="T17">
        <v>0.95</v>
      </c>
      <c r="U17">
        <v>-0.13731970199999999</v>
      </c>
      <c r="V17">
        <v>-1.328229E-2</v>
      </c>
      <c r="W17">
        <v>7.5430499999999998E-2</v>
      </c>
      <c r="Y17" s="13" t="s">
        <v>11</v>
      </c>
      <c r="Z17">
        <f t="shared" si="0"/>
        <v>15</v>
      </c>
      <c r="AA17">
        <f t="shared" si="1"/>
        <v>10</v>
      </c>
      <c r="AB17" t="e">
        <f t="shared" si="2"/>
        <v>#N/A</v>
      </c>
    </row>
    <row r="18" spans="1:28" x14ac:dyDescent="0.2">
      <c r="A18" s="8">
        <v>15</v>
      </c>
      <c r="B18" s="8" t="s">
        <v>6</v>
      </c>
      <c r="C18" s="8">
        <v>-4.4312169999999998E-2</v>
      </c>
      <c r="D18" s="8">
        <v>0.95</v>
      </c>
      <c r="E18" s="8">
        <v>-0.11140064</v>
      </c>
      <c r="F18" s="8">
        <v>2.3153973000000001E-2</v>
      </c>
      <c r="G18" s="8">
        <v>4.4312169999999998E-2</v>
      </c>
      <c r="I18" s="6">
        <v>15</v>
      </c>
      <c r="J18" s="6" t="s">
        <v>7</v>
      </c>
      <c r="K18" s="6">
        <v>-5.0677119999999999E-2</v>
      </c>
      <c r="L18" s="6">
        <v>0.95</v>
      </c>
      <c r="M18" s="6">
        <v>-0.11156687</v>
      </c>
      <c r="N18" s="6">
        <v>1.021874E-2</v>
      </c>
      <c r="O18" s="6">
        <v>5.0677119999999999E-2</v>
      </c>
      <c r="Q18">
        <v>15</v>
      </c>
      <c r="R18" t="s">
        <v>15</v>
      </c>
      <c r="S18">
        <v>7.5325550000000005E-2</v>
      </c>
      <c r="T18">
        <v>0.95</v>
      </c>
      <c r="U18">
        <v>8.9472639999999999E-3</v>
      </c>
      <c r="V18">
        <v>0.14215463</v>
      </c>
      <c r="W18">
        <v>7.5325550000000005E-2</v>
      </c>
      <c r="Y18" s="14" t="s">
        <v>21</v>
      </c>
      <c r="Z18" s="12">
        <f t="shared" si="0"/>
        <v>16</v>
      </c>
      <c r="AA18" s="12">
        <f t="shared" si="1"/>
        <v>18</v>
      </c>
      <c r="AB18" s="12">
        <f t="shared" si="2"/>
        <v>4</v>
      </c>
    </row>
    <row r="19" spans="1:28" x14ac:dyDescent="0.2">
      <c r="A19" s="8">
        <v>16</v>
      </c>
      <c r="B19" s="8" t="s">
        <v>11</v>
      </c>
      <c r="C19" s="8">
        <v>-3.4388500000000002E-2</v>
      </c>
      <c r="D19" s="8">
        <v>0.95</v>
      </c>
      <c r="E19" s="8">
        <v>-8.3189289999999999E-2</v>
      </c>
      <c r="F19" s="8">
        <v>1.4528605999999999E-2</v>
      </c>
      <c r="G19" s="8">
        <v>3.4388500000000002E-2</v>
      </c>
      <c r="I19" s="6">
        <v>16</v>
      </c>
      <c r="J19" s="6" t="s">
        <v>15</v>
      </c>
      <c r="K19" s="6">
        <v>-4.8423649999999999E-2</v>
      </c>
      <c r="L19" s="6">
        <v>0.95</v>
      </c>
      <c r="M19" s="6">
        <v>-0.11215521000000001</v>
      </c>
      <c r="N19" s="6">
        <v>1.534103E-2</v>
      </c>
      <c r="O19" s="6">
        <v>4.8423649999999999E-2</v>
      </c>
      <c r="Q19">
        <v>16</v>
      </c>
      <c r="R19" t="s">
        <v>35</v>
      </c>
      <c r="S19">
        <v>6.7013359999999994E-2</v>
      </c>
      <c r="T19">
        <v>0.95</v>
      </c>
      <c r="U19">
        <v>1.603067E-2</v>
      </c>
      <c r="V19">
        <v>0.11819665</v>
      </c>
      <c r="W19">
        <v>6.7013359999999994E-2</v>
      </c>
      <c r="Y19" s="13" t="s">
        <v>20</v>
      </c>
      <c r="Z19">
        <f t="shared" si="0"/>
        <v>17</v>
      </c>
      <c r="AA19" t="e">
        <f t="shared" si="1"/>
        <v>#N/A</v>
      </c>
      <c r="AB19" t="e">
        <f t="shared" si="2"/>
        <v>#N/A</v>
      </c>
    </row>
    <row r="20" spans="1:28" x14ac:dyDescent="0.2">
      <c r="A20" s="8">
        <v>17</v>
      </c>
      <c r="B20" s="8" t="s">
        <v>21</v>
      </c>
      <c r="C20" s="8">
        <v>-3.0358570000000001E-2</v>
      </c>
      <c r="D20" s="8">
        <v>0.95</v>
      </c>
      <c r="E20" s="8">
        <v>-7.9339560000000003E-2</v>
      </c>
      <c r="F20" s="8">
        <v>1.8754967000000001E-2</v>
      </c>
      <c r="G20" s="8">
        <v>3.0358570000000001E-2</v>
      </c>
      <c r="I20" s="6">
        <v>17</v>
      </c>
      <c r="J20" s="6" t="s">
        <v>10</v>
      </c>
      <c r="K20" s="6">
        <v>2.990112E-2</v>
      </c>
      <c r="L20" s="6">
        <v>0.95</v>
      </c>
      <c r="M20" s="6">
        <v>-1.216707E-2</v>
      </c>
      <c r="N20" s="6">
        <v>7.2111770000000006E-2</v>
      </c>
      <c r="O20" s="6">
        <v>2.990112E-2</v>
      </c>
      <c r="Q20" s="6">
        <v>17</v>
      </c>
      <c r="R20" s="6" t="s">
        <v>26</v>
      </c>
      <c r="S20" s="6">
        <v>-6.4492099999999997E-2</v>
      </c>
      <c r="T20" s="6">
        <v>0.95</v>
      </c>
      <c r="U20" s="6">
        <v>-0.14169406200000001</v>
      </c>
      <c r="V20" s="6">
        <v>1.2948599999999999E-2</v>
      </c>
      <c r="W20" s="6">
        <v>6.4492099999999997E-2</v>
      </c>
      <c r="Y20" s="14" t="s">
        <v>13</v>
      </c>
      <c r="Z20" s="12">
        <f t="shared" si="0"/>
        <v>18</v>
      </c>
      <c r="AA20" s="12">
        <f t="shared" si="1"/>
        <v>4</v>
      </c>
      <c r="AB20" s="12">
        <f t="shared" si="2"/>
        <v>10</v>
      </c>
    </row>
    <row r="21" spans="1:28" x14ac:dyDescent="0.2">
      <c r="A21" s="8">
        <v>18</v>
      </c>
      <c r="B21" s="8" t="s">
        <v>20</v>
      </c>
      <c r="C21" s="8">
        <v>-2.4004040000000001E-2</v>
      </c>
      <c r="D21" s="8">
        <v>0.95</v>
      </c>
      <c r="E21" s="8">
        <v>-7.0896509999999996E-2</v>
      </c>
      <c r="F21" s="8">
        <v>2.3111158E-2</v>
      </c>
      <c r="G21" s="8">
        <v>2.4004040000000001E-2</v>
      </c>
      <c r="I21" s="6">
        <v>18</v>
      </c>
      <c r="J21" s="6" t="s">
        <v>40</v>
      </c>
      <c r="K21" s="6">
        <v>-2.6645180000000001E-2</v>
      </c>
      <c r="L21" s="6">
        <v>0.95</v>
      </c>
      <c r="M21" s="6">
        <v>-7.5654680000000002E-2</v>
      </c>
      <c r="N21" s="6">
        <v>2.2370999999999999E-2</v>
      </c>
      <c r="O21" s="6">
        <v>2.6645180000000001E-2</v>
      </c>
      <c r="Q21" s="7">
        <v>18</v>
      </c>
      <c r="R21" s="7" t="s">
        <v>17</v>
      </c>
      <c r="S21" s="7">
        <v>4.8262310000000003E-2</v>
      </c>
      <c r="T21" s="7">
        <v>0.95</v>
      </c>
      <c r="U21" s="7">
        <v>1.3369810000000001E-3</v>
      </c>
      <c r="V21" s="7">
        <v>9.5192009999999994E-2</v>
      </c>
      <c r="W21" s="7">
        <v>4.8262310000000003E-2</v>
      </c>
      <c r="Y21" s="7" t="s">
        <v>28</v>
      </c>
      <c r="Z21" t="e">
        <f t="shared" si="0"/>
        <v>#N/A</v>
      </c>
      <c r="AA21">
        <f t="shared" si="1"/>
        <v>11</v>
      </c>
      <c r="AB21">
        <f t="shared" si="2"/>
        <v>7</v>
      </c>
    </row>
    <row r="22" spans="1:28" x14ac:dyDescent="0.2">
      <c r="A22" s="8">
        <v>19</v>
      </c>
      <c r="B22" s="8" t="s">
        <v>13</v>
      </c>
      <c r="C22" s="8">
        <v>-2.6490799999999998E-3</v>
      </c>
      <c r="D22" s="8">
        <v>0.95</v>
      </c>
      <c r="E22" s="8">
        <v>-5.3278890000000002E-2</v>
      </c>
      <c r="F22" s="8">
        <v>4.8026371999999998E-2</v>
      </c>
      <c r="G22" s="8">
        <v>2.6490799999999998E-3</v>
      </c>
      <c r="I22" s="6">
        <v>19</v>
      </c>
      <c r="J22" s="6" t="s">
        <v>21</v>
      </c>
      <c r="K22" s="6">
        <v>-1.405082E-2</v>
      </c>
      <c r="L22" s="6">
        <v>0.95</v>
      </c>
      <c r="M22" s="6">
        <v>-6.3542059999999997E-2</v>
      </c>
      <c r="N22" s="6">
        <v>3.5481020000000002E-2</v>
      </c>
      <c r="O22" s="6">
        <v>1.405082E-2</v>
      </c>
      <c r="Q22" s="6">
        <v>19</v>
      </c>
      <c r="R22" s="6" t="s">
        <v>24</v>
      </c>
      <c r="S22" s="6">
        <v>3.168874E-2</v>
      </c>
      <c r="T22" s="6">
        <v>0.95</v>
      </c>
      <c r="U22" s="6">
        <v>-1.5445070999999999E-2</v>
      </c>
      <c r="V22" s="6">
        <v>7.93378E-2</v>
      </c>
      <c r="W22" s="6">
        <v>3.168874E-2</v>
      </c>
      <c r="Y22" s="7" t="s">
        <v>31</v>
      </c>
      <c r="Z22" t="e">
        <f t="shared" si="0"/>
        <v>#N/A</v>
      </c>
      <c r="AA22">
        <f t="shared" si="1"/>
        <v>13</v>
      </c>
      <c r="AB22" t="e">
        <f t="shared" si="2"/>
        <v>#N/A</v>
      </c>
    </row>
    <row r="23" spans="1:28" x14ac:dyDescent="0.2">
      <c r="A23" s="2" t="s">
        <v>89</v>
      </c>
      <c r="B23" s="2"/>
      <c r="C23" s="2"/>
      <c r="D23" s="2"/>
      <c r="E23" s="2"/>
      <c r="F23" s="2"/>
      <c r="G23" s="2"/>
      <c r="I23" s="6">
        <v>20</v>
      </c>
      <c r="J23" s="6" t="s">
        <v>24</v>
      </c>
      <c r="K23" s="6">
        <v>-1.0051289999999999E-2</v>
      </c>
      <c r="L23" s="6">
        <v>0.95</v>
      </c>
      <c r="M23" s="6">
        <v>-5.1494999999999999E-2</v>
      </c>
      <c r="N23" s="6">
        <v>3.148774E-2</v>
      </c>
      <c r="O23" s="6">
        <v>1.0051289999999999E-2</v>
      </c>
      <c r="Q23" s="6">
        <v>20</v>
      </c>
      <c r="R23" s="6" t="s">
        <v>7</v>
      </c>
      <c r="S23" s="6">
        <v>3.030364E-2</v>
      </c>
      <c r="T23" s="6">
        <v>0.95</v>
      </c>
      <c r="U23" s="6">
        <v>-2.5371504999999999E-2</v>
      </c>
      <c r="V23" s="6">
        <v>8.6112149999999998E-2</v>
      </c>
      <c r="W23" s="6">
        <v>3.030364E-2</v>
      </c>
      <c r="Y23" s="7" t="s">
        <v>40</v>
      </c>
      <c r="Z23" t="e">
        <f t="shared" si="0"/>
        <v>#N/A</v>
      </c>
      <c r="AA23">
        <f t="shared" si="1"/>
        <v>17</v>
      </c>
      <c r="AB23" t="e">
        <f t="shared" si="2"/>
        <v>#N/A</v>
      </c>
    </row>
    <row r="24" spans="1:28" x14ac:dyDescent="0.2">
      <c r="Q24" s="6">
        <v>21</v>
      </c>
      <c r="R24" s="6" t="s">
        <v>36</v>
      </c>
      <c r="S24" s="6">
        <v>1.341993E-2</v>
      </c>
      <c r="T24" s="6">
        <v>0.95</v>
      </c>
      <c r="U24" s="6">
        <v>-6.2644433999999999E-2</v>
      </c>
      <c r="V24" s="6">
        <v>8.9401519999999998E-2</v>
      </c>
      <c r="W24" s="6">
        <v>1.341993E-2</v>
      </c>
      <c r="Y24" s="7" t="s">
        <v>24</v>
      </c>
      <c r="Z24" t="e">
        <f t="shared" si="0"/>
        <v>#N/A</v>
      </c>
      <c r="AA24">
        <f t="shared" si="1"/>
        <v>19</v>
      </c>
      <c r="AB24">
        <f t="shared" si="2"/>
        <v>18</v>
      </c>
    </row>
    <row r="25" spans="1:28" x14ac:dyDescent="0.2">
      <c r="A25" s="3" t="s">
        <v>75</v>
      </c>
      <c r="B25" s="5">
        <v>0.71579999999999999</v>
      </c>
      <c r="I25" s="3" t="s">
        <v>75</v>
      </c>
      <c r="J25" s="5">
        <v>0.70820000000000005</v>
      </c>
      <c r="Y25" s="7" t="s">
        <v>39</v>
      </c>
      <c r="Z25" t="e">
        <f t="shared" si="0"/>
        <v>#N/A</v>
      </c>
      <c r="AA25" t="e">
        <f t="shared" si="1"/>
        <v>#N/A</v>
      </c>
      <c r="AB25">
        <f t="shared" si="2"/>
        <v>11</v>
      </c>
    </row>
    <row r="26" spans="1:28" x14ac:dyDescent="0.2">
      <c r="Q26" s="3" t="s">
        <v>75</v>
      </c>
      <c r="R26" s="5">
        <v>0.69059999999999999</v>
      </c>
      <c r="Y26" s="7" t="s">
        <v>14</v>
      </c>
      <c r="Z26" t="e">
        <f t="shared" si="0"/>
        <v>#N/A</v>
      </c>
      <c r="AA26" t="e">
        <f t="shared" si="1"/>
        <v>#N/A</v>
      </c>
      <c r="AB26">
        <f t="shared" si="2"/>
        <v>13</v>
      </c>
    </row>
    <row r="27" spans="1:28" x14ac:dyDescent="0.2">
      <c r="Y27" s="7" t="s">
        <v>35</v>
      </c>
      <c r="Z27" t="e">
        <f t="shared" si="0"/>
        <v>#N/A</v>
      </c>
      <c r="AA27" t="e">
        <f t="shared" si="1"/>
        <v>#N/A</v>
      </c>
      <c r="AB27">
        <f t="shared" si="2"/>
        <v>15</v>
      </c>
    </row>
    <row r="28" spans="1:28" x14ac:dyDescent="0.2">
      <c r="Y28" s="7" t="s">
        <v>26</v>
      </c>
      <c r="Z28" t="e">
        <f t="shared" si="0"/>
        <v>#N/A</v>
      </c>
      <c r="AA28" t="e">
        <f t="shared" si="1"/>
        <v>#N/A</v>
      </c>
      <c r="AB28">
        <f t="shared" si="2"/>
        <v>16</v>
      </c>
    </row>
    <row r="29" spans="1:28" x14ac:dyDescent="0.2">
      <c r="Y29" s="7" t="s">
        <v>17</v>
      </c>
      <c r="Z29" t="e">
        <f t="shared" si="0"/>
        <v>#N/A</v>
      </c>
      <c r="AA29" t="e">
        <f t="shared" si="1"/>
        <v>#N/A</v>
      </c>
      <c r="AB29">
        <f t="shared" si="2"/>
        <v>17</v>
      </c>
    </row>
    <row r="30" spans="1:28" x14ac:dyDescent="0.2">
      <c r="Y30" s="7" t="s">
        <v>36</v>
      </c>
      <c r="Z30" t="e">
        <f t="shared" si="0"/>
        <v>#N/A</v>
      </c>
      <c r="AA30" t="e">
        <f t="shared" si="1"/>
        <v>#N/A</v>
      </c>
      <c r="AB30">
        <f t="shared" si="2"/>
        <v>20</v>
      </c>
    </row>
    <row r="31" spans="1:28" x14ac:dyDescent="0.2">
      <c r="Y31" s="7"/>
    </row>
    <row r="32" spans="1:28" x14ac:dyDescent="0.2">
      <c r="Y32" s="7"/>
    </row>
    <row r="33" spans="1:28" x14ac:dyDescent="0.2">
      <c r="Y33" s="7"/>
    </row>
    <row r="34" spans="1:28" s="10" customFormat="1" x14ac:dyDescent="0.2">
      <c r="A34" s="9" t="s">
        <v>81</v>
      </c>
    </row>
    <row r="35" spans="1:28" x14ac:dyDescent="0.2">
      <c r="A35" s="3" t="s">
        <v>83</v>
      </c>
      <c r="I35" s="3" t="s">
        <v>84</v>
      </c>
      <c r="Q35" s="3" t="s">
        <v>85</v>
      </c>
      <c r="Z35" t="s">
        <v>64</v>
      </c>
      <c r="AA35" t="s">
        <v>84</v>
      </c>
      <c r="AB35" t="s">
        <v>85</v>
      </c>
    </row>
    <row r="36" spans="1:28" x14ac:dyDescent="0.2">
      <c r="A36" s="15" t="s">
        <v>65</v>
      </c>
      <c r="B36" s="15" t="s">
        <v>69</v>
      </c>
      <c r="C36" s="15" t="s">
        <v>70</v>
      </c>
      <c r="D36" s="15" t="s">
        <v>71</v>
      </c>
      <c r="E36" s="15" t="s">
        <v>72</v>
      </c>
      <c r="F36" s="15" t="s">
        <v>73</v>
      </c>
      <c r="G36" s="15" t="s">
        <v>74</v>
      </c>
      <c r="H36" s="7"/>
      <c r="I36" s="15" t="s">
        <v>65</v>
      </c>
      <c r="J36" s="15" t="s">
        <v>69</v>
      </c>
      <c r="K36" s="15" t="s">
        <v>70</v>
      </c>
      <c r="L36" s="15" t="s">
        <v>71</v>
      </c>
      <c r="M36" s="15" t="s">
        <v>72</v>
      </c>
      <c r="N36" s="15" t="s">
        <v>73</v>
      </c>
      <c r="O36" s="15" t="s">
        <v>74</v>
      </c>
      <c r="P36" s="7"/>
      <c r="Q36" s="15" t="s">
        <v>65</v>
      </c>
      <c r="R36" s="15" t="s">
        <v>69</v>
      </c>
      <c r="S36" s="15" t="s">
        <v>70</v>
      </c>
      <c r="T36" s="15" t="s">
        <v>71</v>
      </c>
      <c r="U36" s="15" t="s">
        <v>72</v>
      </c>
      <c r="V36" s="15" t="s">
        <v>73</v>
      </c>
      <c r="W36" s="15" t="s">
        <v>74</v>
      </c>
      <c r="Z36" t="s">
        <v>64</v>
      </c>
      <c r="AA36" t="s">
        <v>84</v>
      </c>
      <c r="AB36" t="s">
        <v>85</v>
      </c>
    </row>
    <row r="37" spans="1:28" x14ac:dyDescent="0.2">
      <c r="A37" s="7">
        <v>1</v>
      </c>
      <c r="B37" s="7" t="s">
        <v>79</v>
      </c>
      <c r="C37" s="7">
        <v>0.98629279999999997</v>
      </c>
      <c r="D37" s="7">
        <v>0.95</v>
      </c>
      <c r="E37" s="7">
        <v>0.94334963000000005</v>
      </c>
      <c r="F37" s="7">
        <v>1.0295982290000001</v>
      </c>
      <c r="G37" s="7">
        <v>0.98629279999999997</v>
      </c>
      <c r="H37" s="7"/>
      <c r="I37" s="7">
        <v>1</v>
      </c>
      <c r="J37" s="7" t="s">
        <v>79</v>
      </c>
      <c r="K37" s="7">
        <v>0.50823339999999995</v>
      </c>
      <c r="L37" s="7">
        <v>0.95</v>
      </c>
      <c r="M37" s="7">
        <v>0.46881817999999997</v>
      </c>
      <c r="N37" s="7">
        <v>0.54781349000000001</v>
      </c>
      <c r="O37" s="7">
        <v>0.50823339999999995</v>
      </c>
      <c r="P37" s="7"/>
      <c r="Q37" s="7">
        <v>1</v>
      </c>
      <c r="R37" s="7" t="s">
        <v>79</v>
      </c>
      <c r="S37" s="7">
        <v>1.20450331</v>
      </c>
      <c r="T37" s="7">
        <v>0.95</v>
      </c>
      <c r="U37" s="7">
        <v>1.1592199621999999</v>
      </c>
      <c r="V37" s="7">
        <v>1.25027785</v>
      </c>
      <c r="W37" s="7">
        <v>1.20450331</v>
      </c>
      <c r="Y37" s="12" t="s">
        <v>0</v>
      </c>
      <c r="Z37" s="12">
        <f>MATCH($Y37,B$38:B$50,0)</f>
        <v>1</v>
      </c>
      <c r="AA37" s="12">
        <f>MATCH($Y37,J$38:J$50,0)</f>
        <v>1</v>
      </c>
      <c r="AB37" s="12">
        <f>MATCH($Y37,R$38:R$53,0)</f>
        <v>8</v>
      </c>
    </row>
    <row r="38" spans="1:28" x14ac:dyDescent="0.2">
      <c r="A38" s="7">
        <v>2</v>
      </c>
      <c r="B38" s="7" t="s">
        <v>0</v>
      </c>
      <c r="C38" s="7">
        <v>-0.52088400000000001</v>
      </c>
      <c r="D38" s="7">
        <v>0.95</v>
      </c>
      <c r="E38" s="7">
        <v>-0.56314343</v>
      </c>
      <c r="F38" s="7">
        <v>-0.47906764800000001</v>
      </c>
      <c r="G38" s="7">
        <v>0.52088400000000001</v>
      </c>
      <c r="H38" s="7"/>
      <c r="I38" s="7">
        <v>2</v>
      </c>
      <c r="J38" s="7" t="s">
        <v>0</v>
      </c>
      <c r="K38" s="7">
        <v>-0.36159839999999999</v>
      </c>
      <c r="L38" s="7">
        <v>0.95</v>
      </c>
      <c r="M38" s="7">
        <v>-0.40123519000000002</v>
      </c>
      <c r="N38" s="7">
        <v>-0.32221089000000003</v>
      </c>
      <c r="O38" s="7">
        <v>0.36159839999999999</v>
      </c>
      <c r="P38" s="7"/>
      <c r="Q38" s="7">
        <v>2</v>
      </c>
      <c r="R38" s="7" t="s">
        <v>2</v>
      </c>
      <c r="S38" s="7">
        <v>0.3335806</v>
      </c>
      <c r="T38" s="7">
        <v>0.95</v>
      </c>
      <c r="U38" s="7">
        <v>0.26993313520000001</v>
      </c>
      <c r="V38" s="7">
        <v>0.39860358000000001</v>
      </c>
      <c r="W38" s="7">
        <v>0.3335806</v>
      </c>
      <c r="Y38" s="12" t="s">
        <v>2</v>
      </c>
      <c r="Z38" s="12">
        <f t="shared" ref="Z38:Z59" si="3">MATCH($Y38,B$38:B$50,0)</f>
        <v>2</v>
      </c>
      <c r="AA38" s="12">
        <f t="shared" ref="AA38:AA59" si="4">MATCH($Y38,J$38:J$50,0)</f>
        <v>4</v>
      </c>
      <c r="AB38" s="12">
        <f t="shared" ref="AB38:AB59" si="5">MATCH($Y38,R$38:R$53,0)</f>
        <v>1</v>
      </c>
    </row>
    <row r="39" spans="1:28" x14ac:dyDescent="0.2">
      <c r="A39" s="7">
        <v>3</v>
      </c>
      <c r="B39" s="7" t="s">
        <v>2</v>
      </c>
      <c r="C39" s="7">
        <v>0.32887559</v>
      </c>
      <c r="D39" s="7">
        <v>0.95</v>
      </c>
      <c r="E39" s="7">
        <v>0.27037278999999997</v>
      </c>
      <c r="F39" s="7">
        <v>0.38833125000000002</v>
      </c>
      <c r="G39" s="7">
        <v>0.32887559</v>
      </c>
      <c r="H39" s="7"/>
      <c r="I39" s="7">
        <v>3</v>
      </c>
      <c r="J39" s="7" t="s">
        <v>12</v>
      </c>
      <c r="K39" s="7">
        <v>0.3326461</v>
      </c>
      <c r="L39" s="7">
        <v>0.95</v>
      </c>
      <c r="M39" s="7">
        <v>0.28877729000000002</v>
      </c>
      <c r="N39" s="7">
        <v>0.37682115999999999</v>
      </c>
      <c r="O39" s="7">
        <v>0.3326461</v>
      </c>
      <c r="P39" s="7"/>
      <c r="Q39" s="7">
        <v>3</v>
      </c>
      <c r="R39" s="7" t="s">
        <v>5</v>
      </c>
      <c r="S39" s="7">
        <v>0.32037263999999999</v>
      </c>
      <c r="T39" s="7">
        <v>0.95</v>
      </c>
      <c r="U39" s="7">
        <v>0.26197420100000002</v>
      </c>
      <c r="V39" s="7">
        <v>0.37972992</v>
      </c>
      <c r="W39" s="7">
        <v>0.32037263999999999</v>
      </c>
      <c r="Y39" s="7" t="s">
        <v>16</v>
      </c>
      <c r="Z39" s="7">
        <f t="shared" si="3"/>
        <v>3</v>
      </c>
      <c r="AA39" s="7" t="e">
        <f t="shared" si="4"/>
        <v>#N/A</v>
      </c>
      <c r="AB39" s="7" t="e">
        <f t="shared" si="5"/>
        <v>#N/A</v>
      </c>
    </row>
    <row r="40" spans="1:28" x14ac:dyDescent="0.2">
      <c r="A40" s="7">
        <v>4</v>
      </c>
      <c r="B40" s="7" t="s">
        <v>16</v>
      </c>
      <c r="C40" s="7">
        <v>-0.24643924</v>
      </c>
      <c r="D40" s="7">
        <v>0.95</v>
      </c>
      <c r="E40" s="7">
        <v>-0.30545902000000003</v>
      </c>
      <c r="F40" s="7">
        <v>-0.18757792200000001</v>
      </c>
      <c r="G40" s="7">
        <v>0.24643924</v>
      </c>
      <c r="H40" s="7"/>
      <c r="I40" s="7">
        <v>4</v>
      </c>
      <c r="J40" s="7" t="s">
        <v>9</v>
      </c>
      <c r="K40" s="7">
        <v>-0.25585570000000002</v>
      </c>
      <c r="L40" s="7">
        <v>0.95</v>
      </c>
      <c r="M40" s="7">
        <v>-0.30844766000000001</v>
      </c>
      <c r="N40" s="7">
        <v>-0.20333884999999999</v>
      </c>
      <c r="O40" s="7">
        <v>0.25585570000000002</v>
      </c>
      <c r="P40" s="7"/>
      <c r="Q40" s="7">
        <v>4</v>
      </c>
      <c r="R40" s="7" t="s">
        <v>4</v>
      </c>
      <c r="S40" s="7">
        <v>-0.21330145</v>
      </c>
      <c r="T40" s="7">
        <v>0.95</v>
      </c>
      <c r="U40" s="7">
        <v>-0.25789533799999997</v>
      </c>
      <c r="V40" s="7">
        <v>-0.16878566</v>
      </c>
      <c r="W40" s="7">
        <v>0.21330145</v>
      </c>
      <c r="Y40" s="12" t="s">
        <v>1</v>
      </c>
      <c r="Z40" s="12">
        <f t="shared" si="3"/>
        <v>4</v>
      </c>
      <c r="AA40" s="12">
        <f t="shared" si="4"/>
        <v>6</v>
      </c>
      <c r="AB40" s="12">
        <f t="shared" si="5"/>
        <v>5</v>
      </c>
    </row>
    <row r="41" spans="1:28" x14ac:dyDescent="0.2">
      <c r="A41" s="7">
        <v>5</v>
      </c>
      <c r="B41" s="7" t="s">
        <v>1</v>
      </c>
      <c r="C41" s="7">
        <v>0.24073507999999999</v>
      </c>
      <c r="D41" s="7">
        <v>0.95</v>
      </c>
      <c r="E41" s="7">
        <v>0.19269702999999999</v>
      </c>
      <c r="F41" s="7">
        <v>0.289122934</v>
      </c>
      <c r="G41" s="7">
        <v>0.24073507999999999</v>
      </c>
      <c r="H41" s="7"/>
      <c r="I41" s="7">
        <v>5</v>
      </c>
      <c r="J41" s="7" t="s">
        <v>2</v>
      </c>
      <c r="K41" s="7">
        <v>0.24133499999999999</v>
      </c>
      <c r="L41" s="7">
        <v>0.95</v>
      </c>
      <c r="M41" s="7">
        <v>0.19353287</v>
      </c>
      <c r="N41" s="7">
        <v>0.29053385999999998</v>
      </c>
      <c r="O41" s="7">
        <v>0.24133499999999999</v>
      </c>
      <c r="P41" s="7"/>
      <c r="Q41" s="7">
        <v>5</v>
      </c>
      <c r="R41" s="7" t="s">
        <v>21</v>
      </c>
      <c r="S41" s="7">
        <v>0.21088234</v>
      </c>
      <c r="T41" s="7">
        <v>0.95</v>
      </c>
      <c r="U41" s="7">
        <v>0.15954082999999999</v>
      </c>
      <c r="V41" s="7">
        <v>0.26269795000000001</v>
      </c>
      <c r="W41" s="7">
        <v>0.21088234</v>
      </c>
      <c r="Y41" s="12" t="s">
        <v>4</v>
      </c>
      <c r="Z41" s="12">
        <f t="shared" si="3"/>
        <v>5</v>
      </c>
      <c r="AA41" s="12">
        <f t="shared" si="4"/>
        <v>7</v>
      </c>
      <c r="AB41" s="12">
        <f t="shared" si="5"/>
        <v>3</v>
      </c>
    </row>
    <row r="42" spans="1:28" x14ac:dyDescent="0.2">
      <c r="A42" s="7">
        <v>6</v>
      </c>
      <c r="B42" s="7" t="s">
        <v>4</v>
      </c>
      <c r="C42" s="7">
        <v>-0.19032603000000001</v>
      </c>
      <c r="D42" s="7">
        <v>0.95</v>
      </c>
      <c r="E42" s="7">
        <v>-0.23445278</v>
      </c>
      <c r="F42" s="7">
        <v>-0.14629097599999999</v>
      </c>
      <c r="G42" s="7">
        <v>0.19032603000000001</v>
      </c>
      <c r="H42" s="7"/>
      <c r="I42" s="7">
        <v>6</v>
      </c>
      <c r="J42" s="7" t="s">
        <v>13</v>
      </c>
      <c r="K42" s="7">
        <v>0.23138980000000001</v>
      </c>
      <c r="L42" s="7">
        <v>0.95</v>
      </c>
      <c r="M42" s="7">
        <v>0.18169890999999999</v>
      </c>
      <c r="N42" s="7">
        <v>0.28121174999999998</v>
      </c>
      <c r="O42" s="7">
        <v>0.23138980000000001</v>
      </c>
      <c r="P42" s="7"/>
      <c r="Q42" s="7">
        <v>6</v>
      </c>
      <c r="R42" s="7" t="s">
        <v>1</v>
      </c>
      <c r="S42" s="7">
        <v>0.19723040999999999</v>
      </c>
      <c r="T42" s="7">
        <v>0.95</v>
      </c>
      <c r="U42" s="7">
        <v>0.14439825940000001</v>
      </c>
      <c r="V42" s="7">
        <v>0.25030339000000001</v>
      </c>
      <c r="W42" s="7">
        <v>0.19723040999999999</v>
      </c>
      <c r="Y42" s="12" t="s">
        <v>3</v>
      </c>
      <c r="Z42" s="12">
        <f t="shared" si="3"/>
        <v>6</v>
      </c>
      <c r="AA42" s="12">
        <f t="shared" si="4"/>
        <v>9</v>
      </c>
      <c r="AB42" s="12">
        <f t="shared" si="5"/>
        <v>9</v>
      </c>
    </row>
    <row r="43" spans="1:28" x14ac:dyDescent="0.2">
      <c r="A43" s="7">
        <v>7</v>
      </c>
      <c r="B43" s="7" t="s">
        <v>3</v>
      </c>
      <c r="C43" s="7">
        <v>-0.18282086</v>
      </c>
      <c r="D43" s="7">
        <v>0.95</v>
      </c>
      <c r="E43" s="7">
        <v>-0.22310287000000001</v>
      </c>
      <c r="F43" s="7">
        <v>-0.14261289199999999</v>
      </c>
      <c r="G43" s="7">
        <v>0.18282086</v>
      </c>
      <c r="H43" s="7"/>
      <c r="I43" s="7">
        <v>7</v>
      </c>
      <c r="J43" s="7" t="s">
        <v>1</v>
      </c>
      <c r="K43" s="7">
        <v>0.2257912</v>
      </c>
      <c r="L43" s="7">
        <v>0.95</v>
      </c>
      <c r="M43" s="7">
        <v>0.17715511</v>
      </c>
      <c r="N43" s="7">
        <v>0.27479674999999998</v>
      </c>
      <c r="O43" s="7">
        <v>0.2257912</v>
      </c>
      <c r="P43" s="7"/>
      <c r="Q43" s="7">
        <v>7</v>
      </c>
      <c r="R43" s="7" t="s">
        <v>9</v>
      </c>
      <c r="S43" s="7">
        <v>-0.18216439000000001</v>
      </c>
      <c r="T43" s="7">
        <v>0.95</v>
      </c>
      <c r="U43" s="7">
        <v>-0.2351487551</v>
      </c>
      <c r="V43" s="7">
        <v>-0.12913213000000001</v>
      </c>
      <c r="W43" s="7">
        <v>0.18216439000000001</v>
      </c>
      <c r="Y43" s="7" t="s">
        <v>19</v>
      </c>
      <c r="Z43" s="7">
        <f t="shared" si="3"/>
        <v>7</v>
      </c>
      <c r="AA43" s="7" t="e">
        <f t="shared" si="4"/>
        <v>#N/A</v>
      </c>
      <c r="AB43" s="7" t="e">
        <f t="shared" si="5"/>
        <v>#N/A</v>
      </c>
    </row>
    <row r="44" spans="1:28" x14ac:dyDescent="0.2">
      <c r="A44" s="7">
        <v>8</v>
      </c>
      <c r="B44" s="7" t="s">
        <v>19</v>
      </c>
      <c r="C44" s="7">
        <v>0.16486160999999999</v>
      </c>
      <c r="D44" s="7">
        <v>0.95</v>
      </c>
      <c r="E44" s="7">
        <v>0.11569632000000001</v>
      </c>
      <c r="F44" s="7">
        <v>0.21518732800000001</v>
      </c>
      <c r="G44" s="7">
        <v>0.16486160999999999</v>
      </c>
      <c r="H44" s="7"/>
      <c r="I44" s="7">
        <v>8</v>
      </c>
      <c r="J44" s="7" t="s">
        <v>4</v>
      </c>
      <c r="K44" s="7">
        <v>-0.1910742</v>
      </c>
      <c r="L44" s="7">
        <v>0.95</v>
      </c>
      <c r="M44" s="7">
        <v>-0.23333061999999999</v>
      </c>
      <c r="N44" s="7">
        <v>-0.14892843</v>
      </c>
      <c r="O44" s="7">
        <v>0.1910742</v>
      </c>
      <c r="P44" s="7"/>
      <c r="Q44" s="7">
        <v>8</v>
      </c>
      <c r="R44" s="7" t="s">
        <v>28</v>
      </c>
      <c r="S44" s="7">
        <v>0.16518626</v>
      </c>
      <c r="T44" s="7">
        <v>0.95</v>
      </c>
      <c r="U44" s="7">
        <v>0.1149524542</v>
      </c>
      <c r="V44" s="7">
        <v>0.2160521</v>
      </c>
      <c r="W44" s="7">
        <v>0.16518626</v>
      </c>
      <c r="Y44" s="7" t="s">
        <v>12</v>
      </c>
      <c r="Z44" s="7">
        <f t="shared" si="3"/>
        <v>8</v>
      </c>
      <c r="AA44" s="7">
        <f t="shared" si="4"/>
        <v>2</v>
      </c>
      <c r="AB44" s="7" t="e">
        <f t="shared" si="5"/>
        <v>#N/A</v>
      </c>
    </row>
    <row r="45" spans="1:28" x14ac:dyDescent="0.2">
      <c r="A45" s="7">
        <v>9</v>
      </c>
      <c r="B45" s="7" t="s">
        <v>12</v>
      </c>
      <c r="C45" s="7">
        <v>0.13485659999999999</v>
      </c>
      <c r="D45" s="7">
        <v>0.95</v>
      </c>
      <c r="E45" s="7">
        <v>9.11217E-2</v>
      </c>
      <c r="F45" s="7">
        <v>0.178844745</v>
      </c>
      <c r="G45" s="7">
        <v>0.13485659999999999</v>
      </c>
      <c r="H45" s="7"/>
      <c r="I45" s="7">
        <v>9</v>
      </c>
      <c r="J45" s="7" t="s">
        <v>11</v>
      </c>
      <c r="K45" s="7">
        <v>-0.1760216</v>
      </c>
      <c r="L45" s="7">
        <v>0.95</v>
      </c>
      <c r="M45" s="7">
        <v>-0.21720415000000001</v>
      </c>
      <c r="N45" s="7">
        <v>-0.13492538000000001</v>
      </c>
      <c r="O45" s="7">
        <v>0.1760216</v>
      </c>
      <c r="P45" s="7"/>
      <c r="Q45" s="7">
        <v>9</v>
      </c>
      <c r="R45" s="7" t="s">
        <v>0</v>
      </c>
      <c r="S45" s="7">
        <v>-0.16202685</v>
      </c>
      <c r="T45" s="7">
        <v>0.95</v>
      </c>
      <c r="U45" s="7">
        <v>-0.20402499399999999</v>
      </c>
      <c r="V45" s="7">
        <v>-0.1198905</v>
      </c>
      <c r="W45" s="7">
        <v>0.16202685</v>
      </c>
      <c r="Y45" s="7" t="s">
        <v>7</v>
      </c>
      <c r="Z45" s="7">
        <f t="shared" si="3"/>
        <v>9</v>
      </c>
      <c r="AA45" s="7" t="e">
        <f t="shared" si="4"/>
        <v>#N/A</v>
      </c>
      <c r="AB45" s="7" t="e">
        <f t="shared" si="5"/>
        <v>#N/A</v>
      </c>
    </row>
    <row r="46" spans="1:28" x14ac:dyDescent="0.2">
      <c r="A46" s="7">
        <v>10</v>
      </c>
      <c r="B46" s="7" t="s">
        <v>7</v>
      </c>
      <c r="C46" s="7">
        <v>0.11989161</v>
      </c>
      <c r="D46" s="7">
        <v>0.95</v>
      </c>
      <c r="E46" s="7">
        <v>6.9630549999999999E-2</v>
      </c>
      <c r="F46" s="7">
        <v>0.17035561399999999</v>
      </c>
      <c r="G46" s="7">
        <v>0.11989161</v>
      </c>
      <c r="H46" s="7"/>
      <c r="I46" s="7">
        <v>10</v>
      </c>
      <c r="J46" s="7" t="s">
        <v>3</v>
      </c>
      <c r="K46" s="7">
        <v>-0.1642053</v>
      </c>
      <c r="L46" s="7">
        <v>0.95</v>
      </c>
      <c r="M46" s="7">
        <v>-0.20514557999999999</v>
      </c>
      <c r="N46" s="7">
        <v>-0.12352381</v>
      </c>
      <c r="O46" s="7">
        <v>0.1642053</v>
      </c>
      <c r="P46" s="7"/>
      <c r="Q46" s="7">
        <v>10</v>
      </c>
      <c r="R46" s="7" t="s">
        <v>3</v>
      </c>
      <c r="S46" s="7">
        <v>-0.15994881</v>
      </c>
      <c r="T46" s="7">
        <v>0.95</v>
      </c>
      <c r="U46" s="7">
        <v>-0.20588220569999999</v>
      </c>
      <c r="V46" s="7">
        <v>-0.11401225</v>
      </c>
      <c r="W46" s="7">
        <v>0.15994881</v>
      </c>
      <c r="Y46" s="7" t="s">
        <v>15</v>
      </c>
      <c r="Z46" s="7">
        <f t="shared" si="3"/>
        <v>10</v>
      </c>
      <c r="AA46" s="7" t="e">
        <f t="shared" si="4"/>
        <v>#N/A</v>
      </c>
      <c r="AB46" s="7">
        <f t="shared" si="5"/>
        <v>14</v>
      </c>
    </row>
    <row r="47" spans="1:28" x14ac:dyDescent="0.2">
      <c r="A47" s="7">
        <v>11</v>
      </c>
      <c r="B47" s="7" t="s">
        <v>15</v>
      </c>
      <c r="C47" s="7">
        <v>0.11287547000000001</v>
      </c>
      <c r="D47" s="7">
        <v>0.95</v>
      </c>
      <c r="E47" s="7">
        <v>6.7928240000000001E-2</v>
      </c>
      <c r="F47" s="7">
        <v>0.15841613299999999</v>
      </c>
      <c r="G47" s="7">
        <v>0.11287547000000001</v>
      </c>
      <c r="H47" s="7"/>
      <c r="I47" s="7">
        <v>11</v>
      </c>
      <c r="J47" s="7" t="s">
        <v>5</v>
      </c>
      <c r="K47" s="7">
        <v>0.15625810000000001</v>
      </c>
      <c r="L47" s="7">
        <v>0.95</v>
      </c>
      <c r="M47" s="7">
        <v>0.11277754</v>
      </c>
      <c r="N47" s="7">
        <v>0.20024991</v>
      </c>
      <c r="O47" s="7">
        <v>0.15625810000000001</v>
      </c>
      <c r="P47" s="7"/>
      <c r="Q47" s="7">
        <v>11</v>
      </c>
      <c r="R47" s="7" t="s">
        <v>13</v>
      </c>
      <c r="S47" s="7">
        <v>0.13259075000000001</v>
      </c>
      <c r="T47" s="7">
        <v>0.95</v>
      </c>
      <c r="U47" s="7">
        <v>6.6975141000000002E-2</v>
      </c>
      <c r="V47" s="7">
        <v>0.19873452</v>
      </c>
      <c r="W47" s="7">
        <v>0.13259075000000001</v>
      </c>
      <c r="Y47" s="12" t="s">
        <v>5</v>
      </c>
      <c r="Z47" s="12">
        <f t="shared" si="3"/>
        <v>11</v>
      </c>
      <c r="AA47" s="12">
        <f t="shared" si="4"/>
        <v>10</v>
      </c>
      <c r="AB47" s="12">
        <f t="shared" si="5"/>
        <v>2</v>
      </c>
    </row>
    <row r="48" spans="1:28" x14ac:dyDescent="0.2">
      <c r="A48" s="7">
        <v>12</v>
      </c>
      <c r="B48" s="7" t="s">
        <v>5</v>
      </c>
      <c r="C48" s="7">
        <v>0.10276315</v>
      </c>
      <c r="D48" s="7">
        <v>0.95</v>
      </c>
      <c r="E48" s="7">
        <v>5.6046319999999997E-2</v>
      </c>
      <c r="F48" s="7">
        <v>0.15017898700000001</v>
      </c>
      <c r="G48" s="7">
        <v>0.10276315</v>
      </c>
      <c r="H48" s="7"/>
      <c r="I48" s="7">
        <v>12</v>
      </c>
      <c r="J48" s="7" t="s">
        <v>6</v>
      </c>
      <c r="K48" s="7">
        <v>-0.155365</v>
      </c>
      <c r="L48" s="7">
        <v>0.95</v>
      </c>
      <c r="M48" s="7">
        <v>-0.20827892000000001</v>
      </c>
      <c r="N48" s="7">
        <v>-0.10262589</v>
      </c>
      <c r="O48" s="7">
        <v>0.155365</v>
      </c>
      <c r="P48" s="7"/>
      <c r="Q48" s="7">
        <v>12</v>
      </c>
      <c r="R48" s="7" t="s">
        <v>39</v>
      </c>
      <c r="S48" s="7">
        <v>-0.11908169</v>
      </c>
      <c r="T48" s="7">
        <v>0.95</v>
      </c>
      <c r="U48" s="7">
        <v>-0.1648521926</v>
      </c>
      <c r="V48" s="7">
        <v>-7.3231359999999995E-2</v>
      </c>
      <c r="W48" s="7">
        <v>0.11908169</v>
      </c>
      <c r="Y48" s="12" t="s">
        <v>9</v>
      </c>
      <c r="Z48" s="12">
        <f t="shared" si="3"/>
        <v>12</v>
      </c>
      <c r="AA48" s="12">
        <f t="shared" si="4"/>
        <v>3</v>
      </c>
      <c r="AB48" s="12">
        <f t="shared" si="5"/>
        <v>6</v>
      </c>
    </row>
    <row r="49" spans="1:30" x14ac:dyDescent="0.2">
      <c r="A49" s="6">
        <v>13</v>
      </c>
      <c r="B49" s="6" t="s">
        <v>9</v>
      </c>
      <c r="C49" s="6">
        <v>5.5543160000000001E-2</v>
      </c>
      <c r="D49" s="6">
        <v>0.95</v>
      </c>
      <c r="E49" s="6">
        <v>-1.1247099999999999E-2</v>
      </c>
      <c r="F49" s="6">
        <v>0.12258891</v>
      </c>
      <c r="G49" s="6">
        <v>5.5543160000000001E-2</v>
      </c>
      <c r="H49" s="7"/>
      <c r="I49" s="7">
        <v>13</v>
      </c>
      <c r="J49" s="7" t="s">
        <v>28</v>
      </c>
      <c r="K49" s="7">
        <v>0.11880599999999999</v>
      </c>
      <c r="L49" s="7">
        <v>0.95</v>
      </c>
      <c r="M49" s="7">
        <v>7.4780490000000005E-2</v>
      </c>
      <c r="N49" s="7">
        <v>0.16323119</v>
      </c>
      <c r="O49" s="7">
        <v>0.11880599999999999</v>
      </c>
      <c r="P49" s="7"/>
      <c r="Q49" s="7">
        <v>13</v>
      </c>
      <c r="R49" s="7" t="s">
        <v>6</v>
      </c>
      <c r="S49" s="7">
        <v>-9.5698580000000005E-2</v>
      </c>
      <c r="T49" s="7">
        <v>0.95</v>
      </c>
      <c r="U49" s="7">
        <v>-0.16442241069999999</v>
      </c>
      <c r="V49" s="7">
        <v>-2.6573010000000001E-2</v>
      </c>
      <c r="W49" s="7">
        <v>9.5698580000000005E-2</v>
      </c>
      <c r="Y49" s="7" t="s">
        <v>10</v>
      </c>
      <c r="Z49" s="7">
        <f t="shared" si="3"/>
        <v>13</v>
      </c>
      <c r="AA49" s="7" t="e">
        <f t="shared" si="4"/>
        <v>#N/A</v>
      </c>
      <c r="AB49" s="7" t="e">
        <f t="shared" si="5"/>
        <v>#N/A</v>
      </c>
    </row>
    <row r="50" spans="1:30" x14ac:dyDescent="0.2">
      <c r="A50" s="7">
        <v>14</v>
      </c>
      <c r="B50" s="7" t="s">
        <v>10</v>
      </c>
      <c r="C50" s="7">
        <v>-4.7584979999999999E-2</v>
      </c>
      <c r="D50" s="7">
        <v>0.95</v>
      </c>
      <c r="E50" s="7">
        <v>-9.2046329999999996E-2</v>
      </c>
      <c r="F50" s="7">
        <v>-2.9132590000000001E-3</v>
      </c>
      <c r="G50" s="7">
        <v>4.7584979999999999E-2</v>
      </c>
      <c r="H50" s="7"/>
      <c r="I50" s="7">
        <v>14</v>
      </c>
      <c r="J50" s="7" t="s">
        <v>31</v>
      </c>
      <c r="K50" s="7">
        <v>-0.1018685</v>
      </c>
      <c r="L50" s="7">
        <v>0.95</v>
      </c>
      <c r="M50" s="7">
        <v>-0.14770422999999999</v>
      </c>
      <c r="N50" s="7">
        <v>-5.6028969999999997E-2</v>
      </c>
      <c r="O50" s="7">
        <v>0.1018685</v>
      </c>
      <c r="P50" s="7"/>
      <c r="Q50" s="7">
        <v>14</v>
      </c>
      <c r="R50" s="7" t="s">
        <v>14</v>
      </c>
      <c r="S50" s="7">
        <v>-7.2970590000000002E-2</v>
      </c>
      <c r="T50" s="7">
        <v>0.95</v>
      </c>
      <c r="U50" s="7">
        <v>-0.13472722749999999</v>
      </c>
      <c r="V50" s="7">
        <v>-1.095145E-2</v>
      </c>
      <c r="W50" s="7">
        <v>7.2970590000000002E-2</v>
      </c>
      <c r="Y50" s="7" t="s">
        <v>13</v>
      </c>
      <c r="Z50" s="7" t="e">
        <f t="shared" si="3"/>
        <v>#N/A</v>
      </c>
      <c r="AA50" s="7">
        <f t="shared" si="4"/>
        <v>5</v>
      </c>
      <c r="AB50" s="7">
        <f t="shared" si="5"/>
        <v>10</v>
      </c>
    </row>
    <row r="51" spans="1:30" x14ac:dyDescent="0.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15</v>
      </c>
      <c r="R51" s="7" t="s">
        <v>15</v>
      </c>
      <c r="S51" s="7">
        <v>6.5528660000000002E-2</v>
      </c>
      <c r="T51" s="7">
        <v>0.95</v>
      </c>
      <c r="U51" s="7">
        <v>-2.3545869999999999E-4</v>
      </c>
      <c r="V51" s="7">
        <v>0.13174399000000001</v>
      </c>
      <c r="W51" s="7">
        <v>6.5528660000000002E-2</v>
      </c>
      <c r="Y51" s="7" t="s">
        <v>11</v>
      </c>
      <c r="Z51" s="7" t="e">
        <f t="shared" si="3"/>
        <v>#N/A</v>
      </c>
      <c r="AA51" s="7">
        <f t="shared" si="4"/>
        <v>8</v>
      </c>
      <c r="AB51" s="7" t="e">
        <f t="shared" si="5"/>
        <v>#N/A</v>
      </c>
    </row>
    <row r="52" spans="1:30" x14ac:dyDescent="0.2">
      <c r="A52" s="3" t="s">
        <v>75</v>
      </c>
      <c r="B52" s="16">
        <v>0.71619999999999995</v>
      </c>
      <c r="C52" s="7"/>
      <c r="D52" s="7"/>
      <c r="E52" s="7"/>
      <c r="F52" s="7"/>
      <c r="G52" s="7"/>
      <c r="H52" s="7"/>
      <c r="I52" s="15" t="s">
        <v>75</v>
      </c>
      <c r="J52" s="16">
        <v>0.70740000000000003</v>
      </c>
      <c r="K52" s="7"/>
      <c r="L52" s="7"/>
      <c r="M52" s="7"/>
      <c r="N52" s="7"/>
      <c r="O52" s="7"/>
      <c r="P52" s="7"/>
      <c r="Q52" s="7">
        <v>16</v>
      </c>
      <c r="R52" s="7" t="s">
        <v>35</v>
      </c>
      <c r="S52" s="7">
        <v>5.8978820000000001E-2</v>
      </c>
      <c r="T52" s="7">
        <v>0.95</v>
      </c>
      <c r="U52" s="7">
        <v>8.7102108999999994E-3</v>
      </c>
      <c r="V52" s="7">
        <v>0.10944484</v>
      </c>
      <c r="W52" s="7">
        <v>5.8978820000000001E-2</v>
      </c>
      <c r="Y52" s="7" t="s">
        <v>6</v>
      </c>
      <c r="Z52" s="7" t="e">
        <f t="shared" si="3"/>
        <v>#N/A</v>
      </c>
      <c r="AA52" s="7">
        <f t="shared" si="4"/>
        <v>11</v>
      </c>
      <c r="AB52" s="7">
        <f t="shared" si="5"/>
        <v>12</v>
      </c>
    </row>
    <row r="53" spans="1:30" x14ac:dyDescent="0.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>
        <v>17</v>
      </c>
      <c r="R53" s="7" t="s">
        <v>17</v>
      </c>
      <c r="S53" s="7">
        <v>4.3320699999999997E-2</v>
      </c>
      <c r="T53" s="7">
        <v>0.95</v>
      </c>
      <c r="U53" s="7">
        <v>-2.3120187000000001E-3</v>
      </c>
      <c r="V53" s="7">
        <v>8.8968699999999998E-2</v>
      </c>
      <c r="W53" s="7">
        <v>4.3320699999999997E-2</v>
      </c>
      <c r="Y53" s="7" t="s">
        <v>28</v>
      </c>
      <c r="Z53" s="7" t="e">
        <f t="shared" si="3"/>
        <v>#N/A</v>
      </c>
      <c r="AA53" s="7">
        <f t="shared" si="4"/>
        <v>12</v>
      </c>
      <c r="AB53" s="7">
        <f t="shared" si="5"/>
        <v>7</v>
      </c>
    </row>
    <row r="54" spans="1:30" x14ac:dyDescent="0.2">
      <c r="Y54" s="7" t="s">
        <v>31</v>
      </c>
      <c r="Z54" s="7" t="e">
        <f t="shared" si="3"/>
        <v>#N/A</v>
      </c>
      <c r="AA54" s="7">
        <f t="shared" si="4"/>
        <v>13</v>
      </c>
      <c r="AB54" s="7" t="e">
        <f t="shared" si="5"/>
        <v>#N/A</v>
      </c>
    </row>
    <row r="55" spans="1:30" x14ac:dyDescent="0.2">
      <c r="Q55" s="3" t="s">
        <v>75</v>
      </c>
      <c r="R55" s="11">
        <v>0.69</v>
      </c>
      <c r="Y55" s="7" t="s">
        <v>21</v>
      </c>
      <c r="Z55" s="7" t="e">
        <f t="shared" si="3"/>
        <v>#N/A</v>
      </c>
      <c r="AA55" s="7" t="e">
        <f t="shared" si="4"/>
        <v>#N/A</v>
      </c>
      <c r="AB55" s="7">
        <f t="shared" si="5"/>
        <v>4</v>
      </c>
    </row>
    <row r="56" spans="1:30" x14ac:dyDescent="0.2">
      <c r="Y56" s="7" t="s">
        <v>39</v>
      </c>
      <c r="Z56" s="7" t="e">
        <f t="shared" si="3"/>
        <v>#N/A</v>
      </c>
      <c r="AA56" s="7" t="e">
        <f t="shared" si="4"/>
        <v>#N/A</v>
      </c>
      <c r="AB56" s="7">
        <f t="shared" si="5"/>
        <v>11</v>
      </c>
    </row>
    <row r="57" spans="1:30" x14ac:dyDescent="0.2">
      <c r="Y57" s="7" t="s">
        <v>14</v>
      </c>
      <c r="Z57" s="7" t="e">
        <f t="shared" si="3"/>
        <v>#N/A</v>
      </c>
      <c r="AA57" s="7" t="e">
        <f t="shared" si="4"/>
        <v>#N/A</v>
      </c>
      <c r="AB57" s="7">
        <f t="shared" si="5"/>
        <v>13</v>
      </c>
    </row>
    <row r="58" spans="1:30" x14ac:dyDescent="0.2">
      <c r="Y58" s="7" t="s">
        <v>35</v>
      </c>
      <c r="Z58" s="7" t="e">
        <f t="shared" si="3"/>
        <v>#N/A</v>
      </c>
      <c r="AA58" s="7" t="e">
        <f t="shared" si="4"/>
        <v>#N/A</v>
      </c>
      <c r="AB58" s="7">
        <f t="shared" si="5"/>
        <v>15</v>
      </c>
    </row>
    <row r="59" spans="1:30" x14ac:dyDescent="0.2">
      <c r="Y59" s="7" t="s">
        <v>17</v>
      </c>
      <c r="Z59" s="7" t="e">
        <f t="shared" si="3"/>
        <v>#N/A</v>
      </c>
      <c r="AA59" s="7" t="e">
        <f t="shared" si="4"/>
        <v>#N/A</v>
      </c>
      <c r="AB59" s="7">
        <f t="shared" si="5"/>
        <v>16</v>
      </c>
    </row>
    <row r="61" spans="1:30" s="10" customFormat="1" x14ac:dyDescent="0.2">
      <c r="A61" s="9" t="s">
        <v>86</v>
      </c>
    </row>
    <row r="62" spans="1:30" x14ac:dyDescent="0.2">
      <c r="A62" s="3" t="s">
        <v>83</v>
      </c>
      <c r="I62" s="3" t="s">
        <v>84</v>
      </c>
      <c r="Q62" s="3" t="s">
        <v>85</v>
      </c>
      <c r="Z62" t="s">
        <v>64</v>
      </c>
      <c r="AA62" t="s">
        <v>84</v>
      </c>
      <c r="AB62" t="s">
        <v>85</v>
      </c>
      <c r="AC62" t="s">
        <v>88</v>
      </c>
      <c r="AD62" t="s">
        <v>76</v>
      </c>
    </row>
    <row r="63" spans="1:30" x14ac:dyDescent="0.2">
      <c r="A63" s="3" t="s">
        <v>65</v>
      </c>
      <c r="B63" s="15" t="s">
        <v>69</v>
      </c>
      <c r="C63" s="15" t="s">
        <v>70</v>
      </c>
      <c r="D63" s="15" t="s">
        <v>71</v>
      </c>
      <c r="E63" s="15" t="s">
        <v>72</v>
      </c>
      <c r="F63" s="15" t="s">
        <v>73</v>
      </c>
      <c r="G63" s="15" t="s">
        <v>74</v>
      </c>
      <c r="H63" s="7"/>
      <c r="I63" s="15" t="s">
        <v>65</v>
      </c>
      <c r="J63" s="15" t="s">
        <v>69</v>
      </c>
      <c r="K63" s="15" t="s">
        <v>70</v>
      </c>
      <c r="L63" s="15" t="s">
        <v>71</v>
      </c>
      <c r="M63" s="15" t="s">
        <v>72</v>
      </c>
      <c r="N63" s="15" t="s">
        <v>73</v>
      </c>
      <c r="O63" s="15" t="s">
        <v>74</v>
      </c>
      <c r="P63" s="7"/>
      <c r="Q63" s="15" t="s">
        <v>65</v>
      </c>
      <c r="R63" s="15" t="s">
        <v>69</v>
      </c>
      <c r="S63" s="15" t="s">
        <v>70</v>
      </c>
      <c r="T63" s="15" t="s">
        <v>71</v>
      </c>
      <c r="U63" s="15" t="s">
        <v>72</v>
      </c>
      <c r="V63" s="15" t="s">
        <v>73</v>
      </c>
      <c r="W63" s="15" t="s">
        <v>74</v>
      </c>
      <c r="Y63" t="s">
        <v>0</v>
      </c>
      <c r="Z63" s="7">
        <f>MATCH($Y63,B$64:B$76,0)</f>
        <v>2</v>
      </c>
      <c r="AA63" s="7">
        <f>MATCH($Y63,J$64:J$76,0)</f>
        <v>2</v>
      </c>
      <c r="AB63" s="7">
        <f>MATCH($Y63,R$64:R$76,0)</f>
        <v>9</v>
      </c>
      <c r="AC63" s="17">
        <f>AVERAGE(Z63:AB63)</f>
        <v>4.333333333333333</v>
      </c>
      <c r="AD63">
        <v>2</v>
      </c>
    </row>
    <row r="64" spans="1:30" x14ac:dyDescent="0.2">
      <c r="A64">
        <v>1</v>
      </c>
      <c r="B64" t="s">
        <v>79</v>
      </c>
      <c r="C64">
        <v>0.97006132</v>
      </c>
      <c r="D64">
        <v>0.95</v>
      </c>
      <c r="E64">
        <v>0.92727053400000004</v>
      </c>
      <c r="F64">
        <v>1.0132042699999999</v>
      </c>
      <c r="G64">
        <v>0.97006132</v>
      </c>
      <c r="I64">
        <v>1</v>
      </c>
      <c r="J64" t="s">
        <v>79</v>
      </c>
      <c r="K64">
        <v>0.49350873000000001</v>
      </c>
      <c r="L64">
        <v>0.95</v>
      </c>
      <c r="M64">
        <v>0.45472960000000001</v>
      </c>
      <c r="N64">
        <v>0.53243649999999998</v>
      </c>
      <c r="O64">
        <v>0.49350873000000001</v>
      </c>
      <c r="Q64">
        <v>1</v>
      </c>
      <c r="R64" t="s">
        <v>79</v>
      </c>
      <c r="S64">
        <v>1.1942977299999999</v>
      </c>
      <c r="T64">
        <v>0.95</v>
      </c>
      <c r="U64">
        <v>1.1495896999999999</v>
      </c>
      <c r="V64">
        <v>1.23947914</v>
      </c>
      <c r="W64">
        <v>1.1942977299999999</v>
      </c>
      <c r="Y64" t="s">
        <v>9</v>
      </c>
      <c r="Z64" s="7">
        <f t="shared" ref="Z64:Z74" si="6">MATCH($Y64,B$64:B$76,0)</f>
        <v>8</v>
      </c>
      <c r="AA64" s="7">
        <f t="shared" ref="AA64:AA74" si="7">MATCH($Y64,J$64:J$76,0)</f>
        <v>3</v>
      </c>
      <c r="AB64" s="7">
        <f t="shared" ref="AB64:AB74" si="8">MATCH($Y64,R$64:R$76,0)</f>
        <v>7</v>
      </c>
      <c r="AC64" s="17">
        <f t="shared" ref="AC64:AC74" si="9">AVERAGE(Z64:AB64)</f>
        <v>6</v>
      </c>
      <c r="AD64">
        <v>6</v>
      </c>
    </row>
    <row r="65" spans="1:30" x14ac:dyDescent="0.2">
      <c r="A65">
        <v>2</v>
      </c>
      <c r="B65" t="s">
        <v>0</v>
      </c>
      <c r="C65">
        <v>-0.54119139000000005</v>
      </c>
      <c r="D65">
        <v>0.95</v>
      </c>
      <c r="E65">
        <v>-0.58323868599999995</v>
      </c>
      <c r="F65">
        <v>-0.49960294999999999</v>
      </c>
      <c r="G65">
        <v>0.54119139000000005</v>
      </c>
      <c r="I65">
        <v>2</v>
      </c>
      <c r="J65" t="s">
        <v>0</v>
      </c>
      <c r="K65">
        <v>-0.35837465000000002</v>
      </c>
      <c r="L65">
        <v>0.95</v>
      </c>
      <c r="M65">
        <v>-0.39748470000000002</v>
      </c>
      <c r="N65">
        <v>-0.31952881</v>
      </c>
      <c r="O65">
        <v>0.35837465000000002</v>
      </c>
      <c r="Q65">
        <v>2</v>
      </c>
      <c r="R65" t="s">
        <v>2</v>
      </c>
      <c r="S65">
        <v>0.34215021000000001</v>
      </c>
      <c r="T65">
        <v>0.95</v>
      </c>
      <c r="U65">
        <v>0.27894996999999999</v>
      </c>
      <c r="V65">
        <v>0.40675493000000001</v>
      </c>
      <c r="W65">
        <v>0.34215021000000001</v>
      </c>
      <c r="Y65" t="s">
        <v>2</v>
      </c>
      <c r="Z65" s="7">
        <f t="shared" si="6"/>
        <v>3</v>
      </c>
      <c r="AA65" s="7">
        <f t="shared" si="7"/>
        <v>4</v>
      </c>
      <c r="AB65" s="7">
        <f t="shared" si="8"/>
        <v>2</v>
      </c>
      <c r="AC65" s="17">
        <f t="shared" si="9"/>
        <v>3</v>
      </c>
      <c r="AD65">
        <v>1</v>
      </c>
    </row>
    <row r="66" spans="1:30" x14ac:dyDescent="0.2">
      <c r="A66">
        <v>3</v>
      </c>
      <c r="B66" t="s">
        <v>2</v>
      </c>
      <c r="C66">
        <v>0.43882969999999999</v>
      </c>
      <c r="D66">
        <v>0.95</v>
      </c>
      <c r="E66">
        <v>0.37653967999999999</v>
      </c>
      <c r="F66">
        <v>0.50200955999999997</v>
      </c>
      <c r="G66">
        <v>0.43882969999999999</v>
      </c>
      <c r="I66">
        <v>3</v>
      </c>
      <c r="J66" t="s">
        <v>9</v>
      </c>
      <c r="K66">
        <v>-0.27782837999999999</v>
      </c>
      <c r="L66">
        <v>0.95</v>
      </c>
      <c r="M66">
        <v>-0.33321030000000001</v>
      </c>
      <c r="N66">
        <v>-0.22255131</v>
      </c>
      <c r="O66">
        <v>0.27782837999999999</v>
      </c>
      <c r="Q66">
        <v>3</v>
      </c>
      <c r="R66" t="s">
        <v>5</v>
      </c>
      <c r="S66">
        <v>0.31535667000000001</v>
      </c>
      <c r="T66">
        <v>0.95</v>
      </c>
      <c r="U66">
        <v>0.25923639999999998</v>
      </c>
      <c r="V66">
        <v>0.37244306999999999</v>
      </c>
      <c r="W66">
        <v>0.31535667000000001</v>
      </c>
      <c r="Y66" t="s">
        <v>1</v>
      </c>
      <c r="Z66" s="7">
        <f t="shared" si="6"/>
        <v>5</v>
      </c>
      <c r="AA66" s="7">
        <f t="shared" si="7"/>
        <v>5</v>
      </c>
      <c r="AB66" s="7">
        <f t="shared" si="8"/>
        <v>8</v>
      </c>
      <c r="AC66" s="17">
        <f t="shared" si="9"/>
        <v>6</v>
      </c>
      <c r="AD66">
        <v>5</v>
      </c>
    </row>
    <row r="67" spans="1:30" x14ac:dyDescent="0.2">
      <c r="A67">
        <v>4</v>
      </c>
      <c r="B67" t="s">
        <v>3</v>
      </c>
      <c r="C67">
        <v>-0.18826683</v>
      </c>
      <c r="D67">
        <v>0.95</v>
      </c>
      <c r="E67">
        <v>-0.22849626100000001</v>
      </c>
      <c r="F67">
        <v>-0.14809928999999999</v>
      </c>
      <c r="G67">
        <v>0.18826683</v>
      </c>
      <c r="I67">
        <v>4</v>
      </c>
      <c r="J67" t="s">
        <v>2</v>
      </c>
      <c r="K67">
        <v>0.27627210000000002</v>
      </c>
      <c r="L67">
        <v>0.95</v>
      </c>
      <c r="M67">
        <v>0.2274649</v>
      </c>
      <c r="N67">
        <v>0.32642707999999998</v>
      </c>
      <c r="O67">
        <v>0.27627210000000002</v>
      </c>
      <c r="Q67">
        <v>4</v>
      </c>
      <c r="R67" t="s">
        <v>4</v>
      </c>
      <c r="S67">
        <v>-0.21153099</v>
      </c>
      <c r="T67">
        <v>0.95</v>
      </c>
      <c r="U67">
        <v>-0.25468393</v>
      </c>
      <c r="V67">
        <v>-0.16845323000000001</v>
      </c>
      <c r="W67">
        <v>0.21153099</v>
      </c>
      <c r="Y67" t="s">
        <v>3</v>
      </c>
      <c r="Z67" s="7">
        <f t="shared" si="6"/>
        <v>4</v>
      </c>
      <c r="AA67" s="7">
        <f t="shared" si="7"/>
        <v>6</v>
      </c>
      <c r="AB67" s="7">
        <f t="shared" si="8"/>
        <v>5</v>
      </c>
      <c r="AC67" s="17">
        <f t="shared" si="9"/>
        <v>5</v>
      </c>
      <c r="AD67">
        <v>3</v>
      </c>
    </row>
    <row r="68" spans="1:30" x14ac:dyDescent="0.2">
      <c r="A68">
        <v>5</v>
      </c>
      <c r="B68" t="s">
        <v>1</v>
      </c>
      <c r="C68">
        <v>0.1861814</v>
      </c>
      <c r="D68">
        <v>0.95</v>
      </c>
      <c r="E68">
        <v>0.139418238</v>
      </c>
      <c r="F68">
        <v>0.23326090999999999</v>
      </c>
      <c r="G68">
        <v>0.1861814</v>
      </c>
      <c r="I68">
        <v>5</v>
      </c>
      <c r="J68" t="s">
        <v>1</v>
      </c>
      <c r="K68">
        <v>0.2360865</v>
      </c>
      <c r="L68">
        <v>0.95</v>
      </c>
      <c r="M68">
        <v>0.18611359999999999</v>
      </c>
      <c r="N68">
        <v>0.28644315999999997</v>
      </c>
      <c r="O68">
        <v>0.2360865</v>
      </c>
      <c r="Q68">
        <v>5</v>
      </c>
      <c r="R68" t="s">
        <v>3</v>
      </c>
      <c r="S68">
        <v>-0.21005968</v>
      </c>
      <c r="T68">
        <v>0.95</v>
      </c>
      <c r="U68">
        <v>-0.25180082999999998</v>
      </c>
      <c r="V68">
        <v>-0.1683248</v>
      </c>
      <c r="W68">
        <v>0.21005968</v>
      </c>
      <c r="Y68" t="s">
        <v>5</v>
      </c>
      <c r="Z68" s="7">
        <f t="shared" si="6"/>
        <v>7</v>
      </c>
      <c r="AA68" s="7">
        <f t="shared" si="7"/>
        <v>7</v>
      </c>
      <c r="AB68" s="7">
        <f t="shared" si="8"/>
        <v>3</v>
      </c>
      <c r="AC68" s="17">
        <f t="shared" si="9"/>
        <v>5.666666666666667</v>
      </c>
      <c r="AD68">
        <v>4</v>
      </c>
    </row>
    <row r="69" spans="1:30" x14ac:dyDescent="0.2">
      <c r="A69">
        <v>6</v>
      </c>
      <c r="B69" t="s">
        <v>4</v>
      </c>
      <c r="C69">
        <v>-0.18187327</v>
      </c>
      <c r="D69">
        <v>0.95</v>
      </c>
      <c r="E69">
        <v>-0.225404724</v>
      </c>
      <c r="F69">
        <v>-0.13842563999999999</v>
      </c>
      <c r="G69">
        <v>0.18187327</v>
      </c>
      <c r="I69">
        <v>6</v>
      </c>
      <c r="J69" t="s">
        <v>3</v>
      </c>
      <c r="K69">
        <v>-0.22621252</v>
      </c>
      <c r="L69">
        <v>0.95</v>
      </c>
      <c r="M69">
        <v>-0.26584350000000001</v>
      </c>
      <c r="N69">
        <v>-0.18688263999999999</v>
      </c>
      <c r="O69">
        <v>0.22621252</v>
      </c>
      <c r="Q69">
        <v>6</v>
      </c>
      <c r="R69" t="s">
        <v>21</v>
      </c>
      <c r="S69">
        <v>0.19894630999999999</v>
      </c>
      <c r="T69">
        <v>0.95</v>
      </c>
      <c r="U69">
        <v>0.14806343999999999</v>
      </c>
      <c r="V69">
        <v>0.25030223000000001</v>
      </c>
      <c r="W69">
        <v>0.19894630999999999</v>
      </c>
      <c r="Y69" t="s">
        <v>13</v>
      </c>
      <c r="Z69" s="7">
        <f t="shared" si="6"/>
        <v>11</v>
      </c>
      <c r="AA69" s="7">
        <f t="shared" si="7"/>
        <v>8</v>
      </c>
      <c r="AB69" s="7">
        <f t="shared" si="8"/>
        <v>10</v>
      </c>
      <c r="AC69" s="17">
        <f t="shared" si="9"/>
        <v>9.6666666666666661</v>
      </c>
      <c r="AD69">
        <v>9</v>
      </c>
    </row>
    <row r="70" spans="1:30" x14ac:dyDescent="0.2">
      <c r="A70">
        <v>7</v>
      </c>
      <c r="B70" t="s">
        <v>5</v>
      </c>
      <c r="C70">
        <v>0.15604659000000001</v>
      </c>
      <c r="D70">
        <v>0.95</v>
      </c>
      <c r="E70">
        <v>0.107405229</v>
      </c>
      <c r="F70">
        <v>0.20545847</v>
      </c>
      <c r="G70">
        <v>0.15604659000000001</v>
      </c>
      <c r="I70">
        <v>7</v>
      </c>
      <c r="J70" t="s">
        <v>5</v>
      </c>
      <c r="K70">
        <v>0.18551776</v>
      </c>
      <c r="L70">
        <v>0.95</v>
      </c>
      <c r="M70">
        <v>0.14111480000000001</v>
      </c>
      <c r="N70">
        <v>0.23047164000000001</v>
      </c>
      <c r="O70">
        <v>0.18551776</v>
      </c>
      <c r="Q70">
        <v>7</v>
      </c>
      <c r="R70" t="s">
        <v>9</v>
      </c>
      <c r="S70">
        <v>-0.19812630000000001</v>
      </c>
      <c r="T70">
        <v>0.95</v>
      </c>
      <c r="U70">
        <v>-0.25317916000000001</v>
      </c>
      <c r="V70">
        <v>-0.14294705999999999</v>
      </c>
      <c r="W70">
        <v>0.19812630000000001</v>
      </c>
      <c r="Y70" t="s">
        <v>4</v>
      </c>
      <c r="Z70" s="7">
        <f t="shared" si="6"/>
        <v>6</v>
      </c>
      <c r="AA70" s="7">
        <f t="shared" si="7"/>
        <v>9</v>
      </c>
      <c r="AB70" s="7">
        <f t="shared" si="8"/>
        <v>4</v>
      </c>
      <c r="AC70" s="17">
        <f t="shared" si="9"/>
        <v>6.333333333333333</v>
      </c>
      <c r="AD70">
        <v>7</v>
      </c>
    </row>
    <row r="71" spans="1:30" x14ac:dyDescent="0.2">
      <c r="A71">
        <v>8</v>
      </c>
      <c r="B71" t="s">
        <v>9</v>
      </c>
      <c r="C71">
        <v>-0.15218325999999999</v>
      </c>
      <c r="D71">
        <v>0.95</v>
      </c>
      <c r="E71">
        <v>-0.205030239</v>
      </c>
      <c r="F71">
        <v>-9.9262359999999994E-2</v>
      </c>
      <c r="G71">
        <v>0.15218325999999999</v>
      </c>
      <c r="I71">
        <v>8</v>
      </c>
      <c r="J71" t="s">
        <v>13</v>
      </c>
      <c r="K71">
        <v>0.17889809000000001</v>
      </c>
      <c r="L71">
        <v>0.95</v>
      </c>
      <c r="M71">
        <v>0.1293426</v>
      </c>
      <c r="N71">
        <v>0.22856285000000001</v>
      </c>
      <c r="O71">
        <v>0.17889809000000001</v>
      </c>
      <c r="Q71">
        <v>8</v>
      </c>
      <c r="R71" t="s">
        <v>1</v>
      </c>
      <c r="S71">
        <v>0.19231875000000001</v>
      </c>
      <c r="T71">
        <v>0.95</v>
      </c>
      <c r="U71">
        <v>0.14119805999999999</v>
      </c>
      <c r="V71">
        <v>0.24371532000000001</v>
      </c>
      <c r="W71">
        <v>0.19231875000000001</v>
      </c>
      <c r="Y71" t="s">
        <v>6</v>
      </c>
      <c r="Z71" s="7">
        <f t="shared" si="6"/>
        <v>13</v>
      </c>
      <c r="AA71" s="7">
        <f t="shared" si="7"/>
        <v>10</v>
      </c>
      <c r="AB71" s="7">
        <f t="shared" si="8"/>
        <v>11</v>
      </c>
      <c r="AC71" s="17">
        <f t="shared" si="9"/>
        <v>11.333333333333334</v>
      </c>
      <c r="AD71">
        <v>10</v>
      </c>
    </row>
    <row r="72" spans="1:30" x14ac:dyDescent="0.2">
      <c r="A72">
        <v>9</v>
      </c>
      <c r="B72" t="s">
        <v>15</v>
      </c>
      <c r="C72">
        <v>0.11845849</v>
      </c>
      <c r="D72">
        <v>0.95</v>
      </c>
      <c r="E72">
        <v>6.6777924000000002E-2</v>
      </c>
      <c r="F72">
        <v>0.17064367999999999</v>
      </c>
      <c r="G72">
        <v>0.11845849</v>
      </c>
      <c r="I72">
        <v>9</v>
      </c>
      <c r="J72" t="s">
        <v>4</v>
      </c>
      <c r="K72">
        <v>-0.16526671000000001</v>
      </c>
      <c r="L72">
        <v>0.95</v>
      </c>
      <c r="M72">
        <v>-0.20564360000000001</v>
      </c>
      <c r="N72">
        <v>-0.12497685</v>
      </c>
      <c r="O72">
        <v>0.16526671000000001</v>
      </c>
      <c r="Q72">
        <v>9</v>
      </c>
      <c r="R72" t="s">
        <v>0</v>
      </c>
      <c r="S72">
        <v>-0.17000119999999999</v>
      </c>
      <c r="T72">
        <v>0.95</v>
      </c>
      <c r="U72">
        <v>-0.21082200000000001</v>
      </c>
      <c r="V72">
        <v>-0.12902763</v>
      </c>
      <c r="W72">
        <v>0.17000119999999999</v>
      </c>
      <c r="Y72" t="s">
        <v>7</v>
      </c>
      <c r="Z72" s="7">
        <f t="shared" si="6"/>
        <v>12</v>
      </c>
      <c r="AA72" s="7">
        <f t="shared" si="7"/>
        <v>11</v>
      </c>
      <c r="AB72" s="7">
        <f t="shared" si="8"/>
        <v>13</v>
      </c>
      <c r="AC72" s="17">
        <f t="shared" si="9"/>
        <v>12</v>
      </c>
      <c r="AD72">
        <v>12</v>
      </c>
    </row>
    <row r="73" spans="1:30" x14ac:dyDescent="0.2">
      <c r="A73">
        <v>10</v>
      </c>
      <c r="B73" t="s">
        <v>21</v>
      </c>
      <c r="C73">
        <v>-5.4723109999999998E-2</v>
      </c>
      <c r="D73">
        <v>0.95</v>
      </c>
      <c r="E73">
        <v>-0.10145971099999999</v>
      </c>
      <c r="F73">
        <v>-7.8786800000000008E-3</v>
      </c>
      <c r="G73">
        <v>5.4723109999999998E-2</v>
      </c>
      <c r="I73">
        <v>10</v>
      </c>
      <c r="J73" t="s">
        <v>6</v>
      </c>
      <c r="K73">
        <v>-0.15799437</v>
      </c>
      <c r="L73">
        <v>0.95</v>
      </c>
      <c r="M73">
        <v>-0.22243370000000001</v>
      </c>
      <c r="N73">
        <v>-9.3740299999999999E-2</v>
      </c>
      <c r="O73">
        <v>0.15799437</v>
      </c>
      <c r="Q73">
        <v>10</v>
      </c>
      <c r="R73" t="s">
        <v>13</v>
      </c>
      <c r="S73">
        <v>0.15840714</v>
      </c>
      <c r="T73">
        <v>0.95</v>
      </c>
      <c r="U73">
        <v>0.10740653</v>
      </c>
      <c r="V73">
        <v>0.20975706999999999</v>
      </c>
      <c r="W73">
        <v>0.15840714</v>
      </c>
      <c r="Y73" t="s">
        <v>21</v>
      </c>
      <c r="Z73" s="7">
        <f t="shared" si="6"/>
        <v>10</v>
      </c>
      <c r="AA73" s="7">
        <f t="shared" si="7"/>
        <v>12</v>
      </c>
      <c r="AB73" s="7">
        <f t="shared" si="8"/>
        <v>6</v>
      </c>
      <c r="AC73" s="17">
        <f t="shared" si="9"/>
        <v>9.3333333333333339</v>
      </c>
      <c r="AD73">
        <v>8</v>
      </c>
    </row>
    <row r="74" spans="1:30" x14ac:dyDescent="0.2">
      <c r="A74">
        <v>11</v>
      </c>
      <c r="B74" t="s">
        <v>13</v>
      </c>
      <c r="C74">
        <v>5.0716499999999998E-2</v>
      </c>
      <c r="D74">
        <v>0.95</v>
      </c>
      <c r="E74">
        <v>4.9763129999999996E-3</v>
      </c>
      <c r="F74">
        <v>9.6534999999999996E-2</v>
      </c>
      <c r="G74">
        <v>5.0716499999999998E-2</v>
      </c>
      <c r="I74">
        <v>11</v>
      </c>
      <c r="J74" t="s">
        <v>7</v>
      </c>
      <c r="K74">
        <v>-0.1406435</v>
      </c>
      <c r="L74">
        <v>0.95</v>
      </c>
      <c r="M74">
        <v>-0.19008069999999999</v>
      </c>
      <c r="N74">
        <v>-9.1240489999999994E-2</v>
      </c>
      <c r="O74">
        <v>0.1406435</v>
      </c>
      <c r="Q74">
        <v>11</v>
      </c>
      <c r="R74" t="s">
        <v>6</v>
      </c>
      <c r="S74">
        <v>-0.11868513999999999</v>
      </c>
      <c r="T74">
        <v>0.95</v>
      </c>
      <c r="U74">
        <v>-0.18836474</v>
      </c>
      <c r="V74">
        <v>-4.8647589999999998E-2</v>
      </c>
      <c r="W74">
        <v>0.11868513999999999</v>
      </c>
      <c r="Y74" t="s">
        <v>15</v>
      </c>
      <c r="Z74" s="7">
        <f t="shared" si="6"/>
        <v>9</v>
      </c>
      <c r="AA74" s="7">
        <f t="shared" si="7"/>
        <v>13</v>
      </c>
      <c r="AB74" s="7">
        <f t="shared" si="8"/>
        <v>12</v>
      </c>
      <c r="AC74" s="17">
        <f t="shared" si="9"/>
        <v>11.333333333333334</v>
      </c>
      <c r="AD74">
        <v>11</v>
      </c>
    </row>
    <row r="75" spans="1:30" x14ac:dyDescent="0.2">
      <c r="A75" s="6">
        <v>12</v>
      </c>
      <c r="B75" s="6" t="s">
        <v>7</v>
      </c>
      <c r="C75" s="6">
        <v>1.520171E-2</v>
      </c>
      <c r="D75" s="6">
        <v>0.95</v>
      </c>
      <c r="E75" s="6">
        <v>-3.1954106000000003E-2</v>
      </c>
      <c r="F75" s="6">
        <v>6.2490820000000002E-2</v>
      </c>
      <c r="G75" s="6">
        <v>1.520171E-2</v>
      </c>
      <c r="I75">
        <v>12</v>
      </c>
      <c r="J75" t="s">
        <v>21</v>
      </c>
      <c r="K75">
        <v>-7.6032260000000004E-2</v>
      </c>
      <c r="L75">
        <v>0.95</v>
      </c>
      <c r="M75">
        <v>-0.1199196</v>
      </c>
      <c r="N75">
        <v>-3.2102650000000003E-2</v>
      </c>
      <c r="O75">
        <v>7.6032260000000004E-2</v>
      </c>
      <c r="Q75" s="6">
        <v>12</v>
      </c>
      <c r="R75" s="6" t="s">
        <v>15</v>
      </c>
      <c r="S75" s="6">
        <v>3.9322210000000003E-2</v>
      </c>
      <c r="T75" s="6">
        <v>0.95</v>
      </c>
      <c r="U75" s="6">
        <v>-2.3994080000000001E-2</v>
      </c>
      <c r="V75" s="6">
        <v>0.10309253</v>
      </c>
      <c r="W75" s="6">
        <v>3.9322210000000003E-2</v>
      </c>
    </row>
    <row r="76" spans="1:30" x14ac:dyDescent="0.2">
      <c r="A76" s="6">
        <v>13</v>
      </c>
      <c r="B76" s="6" t="s">
        <v>6</v>
      </c>
      <c r="C76" s="6">
        <v>1.261726E-2</v>
      </c>
      <c r="D76" s="6">
        <v>0.95</v>
      </c>
      <c r="E76" s="6">
        <v>-5.1126336000000001E-2</v>
      </c>
      <c r="F76" s="6">
        <v>7.6785909999999999E-2</v>
      </c>
      <c r="G76" s="6">
        <v>1.261726E-2</v>
      </c>
      <c r="I76" s="6">
        <v>13</v>
      </c>
      <c r="J76" s="6" t="s">
        <v>15</v>
      </c>
      <c r="K76" s="6">
        <v>-4.8437300000000003E-2</v>
      </c>
      <c r="L76" s="6">
        <v>0.95</v>
      </c>
      <c r="M76" s="6">
        <v>-0.11070579999999999</v>
      </c>
      <c r="N76" s="6">
        <v>1.387273E-2</v>
      </c>
      <c r="O76" s="6">
        <v>4.8437300000000003E-2</v>
      </c>
      <c r="Q76" s="6">
        <v>13</v>
      </c>
      <c r="R76" s="6" t="s">
        <v>7</v>
      </c>
      <c r="S76" s="6">
        <v>3.0060679999999999E-2</v>
      </c>
      <c r="T76" s="6">
        <v>0.95</v>
      </c>
      <c r="U76" s="6">
        <v>-2.1697299999999999E-2</v>
      </c>
      <c r="V76" s="6">
        <v>8.1971240000000001E-2</v>
      </c>
      <c r="W76" s="6">
        <v>3.0060679999999999E-2</v>
      </c>
    </row>
    <row r="78" spans="1:30" x14ac:dyDescent="0.2">
      <c r="A78" s="3" t="s">
        <v>75</v>
      </c>
      <c r="B78" s="16">
        <v>0.70509999999999995</v>
      </c>
      <c r="I78" s="3" t="s">
        <v>75</v>
      </c>
      <c r="J78" s="16">
        <v>0.68640000000000001</v>
      </c>
      <c r="Q78" s="3" t="s">
        <v>75</v>
      </c>
      <c r="R78" s="16">
        <v>0.68589999999999995</v>
      </c>
    </row>
    <row r="81" spans="1:30" s="10" customFormat="1" x14ac:dyDescent="0.2">
      <c r="A81" s="9" t="s">
        <v>87</v>
      </c>
    </row>
    <row r="82" spans="1:30" x14ac:dyDescent="0.2">
      <c r="A82" s="3" t="s">
        <v>83</v>
      </c>
      <c r="I82" s="3" t="s">
        <v>84</v>
      </c>
      <c r="Q82" s="3" t="s">
        <v>85</v>
      </c>
      <c r="Z82" t="s">
        <v>64</v>
      </c>
      <c r="AA82" t="s">
        <v>84</v>
      </c>
      <c r="AB82" t="s">
        <v>85</v>
      </c>
      <c r="AC82" t="s">
        <v>88</v>
      </c>
      <c r="AD82" t="s">
        <v>76</v>
      </c>
    </row>
    <row r="83" spans="1:30" x14ac:dyDescent="0.2">
      <c r="A83" s="3" t="s">
        <v>65</v>
      </c>
      <c r="B83" s="15" t="s">
        <v>69</v>
      </c>
      <c r="C83" s="15" t="s">
        <v>70</v>
      </c>
      <c r="D83" s="15" t="s">
        <v>71</v>
      </c>
      <c r="E83" s="15" t="s">
        <v>72</v>
      </c>
      <c r="F83" s="15" t="s">
        <v>73</v>
      </c>
      <c r="G83" s="15" t="s">
        <v>74</v>
      </c>
      <c r="H83" s="7"/>
      <c r="I83" s="15" t="s">
        <v>65</v>
      </c>
      <c r="J83" s="15" t="s">
        <v>69</v>
      </c>
      <c r="K83" s="15" t="s">
        <v>70</v>
      </c>
      <c r="L83" s="15" t="s">
        <v>71</v>
      </c>
      <c r="M83" s="15" t="s">
        <v>72</v>
      </c>
      <c r="N83" s="15" t="s">
        <v>73</v>
      </c>
      <c r="O83" s="15" t="s">
        <v>74</v>
      </c>
      <c r="P83" s="7"/>
      <c r="Q83" s="15" t="s">
        <v>65</v>
      </c>
      <c r="R83" s="15" t="s">
        <v>69</v>
      </c>
      <c r="S83" s="15" t="s">
        <v>70</v>
      </c>
      <c r="T83" s="15" t="s">
        <v>71</v>
      </c>
      <c r="U83" s="15" t="s">
        <v>72</v>
      </c>
      <c r="V83" s="15" t="s">
        <v>73</v>
      </c>
      <c r="W83" s="15" t="s">
        <v>74</v>
      </c>
      <c r="Y83" t="s">
        <v>0</v>
      </c>
      <c r="Z83" s="7">
        <f>MATCH($Y83,B$85:B$91,0)</f>
        <v>1</v>
      </c>
      <c r="AA83" s="7">
        <f>MATCH($Y83,J$85:J$91,0)</f>
        <v>1</v>
      </c>
      <c r="AB83" s="7">
        <f>MATCH($Y83,R$85:R$91,0)</f>
        <v>6</v>
      </c>
      <c r="AC83" s="17">
        <f t="shared" ref="AC83:AC89" si="10">AVERAGE(Z83:AB83)</f>
        <v>2.6666666666666665</v>
      </c>
      <c r="AD83">
        <v>2</v>
      </c>
    </row>
    <row r="84" spans="1:30" x14ac:dyDescent="0.2">
      <c r="A84">
        <v>1</v>
      </c>
      <c r="B84" t="s">
        <v>79</v>
      </c>
      <c r="C84">
        <v>0.96962380000000004</v>
      </c>
      <c r="D84">
        <v>0.95</v>
      </c>
      <c r="E84">
        <v>0.92726140000000001</v>
      </c>
      <c r="F84">
        <v>1.0123277799999999</v>
      </c>
      <c r="G84">
        <v>0.96962380000000004</v>
      </c>
      <c r="I84">
        <v>1</v>
      </c>
      <c r="J84" t="s">
        <v>79</v>
      </c>
      <c r="K84">
        <v>0.48369837999999998</v>
      </c>
      <c r="L84">
        <v>0.95</v>
      </c>
      <c r="M84">
        <v>0.44572040000000002</v>
      </c>
      <c r="N84">
        <v>0.52181683000000001</v>
      </c>
      <c r="O84">
        <v>0.48369837999999998</v>
      </c>
      <c r="Q84">
        <v>1</v>
      </c>
      <c r="R84" t="s">
        <v>79</v>
      </c>
      <c r="S84">
        <v>1.1821273000000001</v>
      </c>
      <c r="T84">
        <v>0.95</v>
      </c>
      <c r="U84">
        <v>1.1381417</v>
      </c>
      <c r="V84">
        <v>1.2265611000000001</v>
      </c>
      <c r="W84">
        <v>1.1821273000000001</v>
      </c>
      <c r="Y84" t="s">
        <v>9</v>
      </c>
      <c r="Z84" s="7">
        <f t="shared" ref="Z84:Z89" si="11">MATCH($Y84,B$85:B$91,0)</f>
        <v>7</v>
      </c>
      <c r="AA84" s="7">
        <f t="shared" ref="AA84:AA89" si="12">MATCH($Y84,J$85:J$91,0)</f>
        <v>2</v>
      </c>
      <c r="AB84" s="7">
        <f t="shared" ref="AB84:AB89" si="13">MATCH($Y84,R$85:R$91,0)</f>
        <v>7</v>
      </c>
      <c r="AC84" s="17">
        <f t="shared" si="10"/>
        <v>5.333333333333333</v>
      </c>
      <c r="AD84">
        <v>6</v>
      </c>
    </row>
    <row r="85" spans="1:30" x14ac:dyDescent="0.2">
      <c r="A85">
        <v>2</v>
      </c>
      <c r="B85" t="s">
        <v>0</v>
      </c>
      <c r="C85">
        <v>-0.5537957</v>
      </c>
      <c r="D85">
        <v>0.95</v>
      </c>
      <c r="E85">
        <v>-0.59558520000000004</v>
      </c>
      <c r="F85">
        <v>-0.51247253000000004</v>
      </c>
      <c r="G85">
        <v>0.5537957</v>
      </c>
      <c r="I85">
        <v>2</v>
      </c>
      <c r="J85" t="s">
        <v>0</v>
      </c>
      <c r="K85">
        <v>-0.34193210000000002</v>
      </c>
      <c r="L85">
        <v>0.95</v>
      </c>
      <c r="M85">
        <v>-0.37993640000000001</v>
      </c>
      <c r="N85">
        <v>-0.30417992999999999</v>
      </c>
      <c r="O85">
        <v>0.34193210000000002</v>
      </c>
      <c r="Q85">
        <v>2</v>
      </c>
      <c r="R85" t="s">
        <v>5</v>
      </c>
      <c r="S85">
        <v>0.3510605</v>
      </c>
      <c r="T85">
        <v>0.95</v>
      </c>
      <c r="U85">
        <v>0.2987514</v>
      </c>
      <c r="V85">
        <v>0.40432489999999999</v>
      </c>
      <c r="W85">
        <v>0.3510605</v>
      </c>
      <c r="Y85" t="s">
        <v>2</v>
      </c>
      <c r="Z85" s="7">
        <f t="shared" si="11"/>
        <v>2</v>
      </c>
      <c r="AA85" s="7">
        <f t="shared" si="12"/>
        <v>3</v>
      </c>
      <c r="AB85" s="7">
        <f t="shared" si="13"/>
        <v>2</v>
      </c>
      <c r="AC85" s="17">
        <f t="shared" si="10"/>
        <v>2.3333333333333335</v>
      </c>
      <c r="AD85">
        <v>1</v>
      </c>
    </row>
    <row r="86" spans="1:30" x14ac:dyDescent="0.2">
      <c r="A86">
        <v>3</v>
      </c>
      <c r="B86" t="s">
        <v>2</v>
      </c>
      <c r="C86">
        <v>0.41117670000000001</v>
      </c>
      <c r="D86">
        <v>0.95</v>
      </c>
      <c r="E86">
        <v>0.35808200000000001</v>
      </c>
      <c r="F86">
        <v>0.46539903999999999</v>
      </c>
      <c r="G86">
        <v>0.41117670000000001</v>
      </c>
      <c r="I86">
        <v>3</v>
      </c>
      <c r="J86" t="s">
        <v>9</v>
      </c>
      <c r="K86">
        <v>-0.31185067999999999</v>
      </c>
      <c r="L86">
        <v>0.95</v>
      </c>
      <c r="M86">
        <v>-0.3551492</v>
      </c>
      <c r="N86">
        <v>-0.26867607999999998</v>
      </c>
      <c r="O86">
        <v>0.31185067999999999</v>
      </c>
      <c r="Q86">
        <v>3</v>
      </c>
      <c r="R86" t="s">
        <v>2</v>
      </c>
      <c r="S86">
        <v>0.29117359999999998</v>
      </c>
      <c r="T86">
        <v>0.95</v>
      </c>
      <c r="U86">
        <v>0.23393659999999999</v>
      </c>
      <c r="V86">
        <v>0.35005429999999998</v>
      </c>
      <c r="W86">
        <v>0.29117359999999998</v>
      </c>
      <c r="Y86" t="s">
        <v>1</v>
      </c>
      <c r="Z86" s="7">
        <f t="shared" si="11"/>
        <v>4</v>
      </c>
      <c r="AA86" s="7">
        <f t="shared" si="12"/>
        <v>5</v>
      </c>
      <c r="AB86" s="7">
        <f t="shared" si="13"/>
        <v>4</v>
      </c>
      <c r="AC86" s="17">
        <f t="shared" si="10"/>
        <v>4.333333333333333</v>
      </c>
      <c r="AD86">
        <v>4</v>
      </c>
    </row>
    <row r="87" spans="1:30" x14ac:dyDescent="0.2">
      <c r="A87">
        <v>4</v>
      </c>
      <c r="B87" t="s">
        <v>3</v>
      </c>
      <c r="C87">
        <v>-0.194774</v>
      </c>
      <c r="D87">
        <v>0.95</v>
      </c>
      <c r="E87">
        <v>-0.23417550000000001</v>
      </c>
      <c r="F87">
        <v>-0.15543523000000001</v>
      </c>
      <c r="G87">
        <v>0.194774</v>
      </c>
      <c r="I87">
        <v>4</v>
      </c>
      <c r="J87" t="s">
        <v>2</v>
      </c>
      <c r="K87">
        <v>0.24590480000000001</v>
      </c>
      <c r="L87">
        <v>0.95</v>
      </c>
      <c r="M87">
        <v>0.19984879999999999</v>
      </c>
      <c r="N87">
        <v>0.29337290999999999</v>
      </c>
      <c r="O87">
        <v>0.24590480000000001</v>
      </c>
      <c r="Q87">
        <v>4</v>
      </c>
      <c r="R87" t="s">
        <v>3</v>
      </c>
      <c r="S87">
        <v>-0.23885000000000001</v>
      </c>
      <c r="T87">
        <v>0.95</v>
      </c>
      <c r="U87">
        <v>-0.27918290000000001</v>
      </c>
      <c r="V87">
        <v>-0.19855790000000001</v>
      </c>
      <c r="W87">
        <v>0.23885000000000001</v>
      </c>
      <c r="Y87" t="s">
        <v>3</v>
      </c>
      <c r="Z87" s="7">
        <f t="shared" si="11"/>
        <v>3</v>
      </c>
      <c r="AA87" s="7">
        <f t="shared" si="12"/>
        <v>4</v>
      </c>
      <c r="AB87" s="7">
        <f t="shared" si="13"/>
        <v>3</v>
      </c>
      <c r="AC87" s="17">
        <f t="shared" si="10"/>
        <v>3.3333333333333335</v>
      </c>
      <c r="AD87">
        <v>3</v>
      </c>
    </row>
    <row r="88" spans="1:30" x14ac:dyDescent="0.2">
      <c r="A88">
        <v>5</v>
      </c>
      <c r="B88" t="s">
        <v>1</v>
      </c>
      <c r="C88">
        <v>0.18649360000000001</v>
      </c>
      <c r="D88">
        <v>0.95</v>
      </c>
      <c r="E88">
        <v>0.1405565</v>
      </c>
      <c r="F88">
        <v>0.23275605999999999</v>
      </c>
      <c r="G88">
        <v>0.18649360000000001</v>
      </c>
      <c r="I88">
        <v>5</v>
      </c>
      <c r="J88" t="s">
        <v>3</v>
      </c>
      <c r="K88">
        <v>-0.21541622999999999</v>
      </c>
      <c r="L88">
        <v>0.95</v>
      </c>
      <c r="M88">
        <v>-0.25393209999999999</v>
      </c>
      <c r="N88">
        <v>-0.17718634999999999</v>
      </c>
      <c r="O88">
        <v>0.21541622999999999</v>
      </c>
      <c r="Q88">
        <v>5</v>
      </c>
      <c r="R88" t="s">
        <v>1</v>
      </c>
      <c r="S88">
        <v>0.21482480000000001</v>
      </c>
      <c r="T88">
        <v>0.95</v>
      </c>
      <c r="U88">
        <v>0.16695009999999999</v>
      </c>
      <c r="V88">
        <v>0.26296789999999998</v>
      </c>
      <c r="W88">
        <v>0.21482480000000001</v>
      </c>
      <c r="Y88" t="s">
        <v>5</v>
      </c>
      <c r="Z88" s="7">
        <f t="shared" si="11"/>
        <v>6</v>
      </c>
      <c r="AA88" s="7">
        <f t="shared" si="12"/>
        <v>6</v>
      </c>
      <c r="AB88" s="7">
        <f t="shared" si="13"/>
        <v>1</v>
      </c>
      <c r="AC88" s="17">
        <f t="shared" si="10"/>
        <v>4.333333333333333</v>
      </c>
      <c r="AD88">
        <v>5</v>
      </c>
    </row>
    <row r="89" spans="1:30" x14ac:dyDescent="0.2">
      <c r="A89">
        <v>6</v>
      </c>
      <c r="B89" t="s">
        <v>4</v>
      </c>
      <c r="C89">
        <v>-0.1660181</v>
      </c>
      <c r="D89">
        <v>0.95</v>
      </c>
      <c r="E89">
        <v>-0.2084609</v>
      </c>
      <c r="F89">
        <v>-0.12366285</v>
      </c>
      <c r="G89">
        <v>0.1660181</v>
      </c>
      <c r="I89">
        <v>6</v>
      </c>
      <c r="J89" t="s">
        <v>1</v>
      </c>
      <c r="K89">
        <v>0.20073174999999999</v>
      </c>
      <c r="L89">
        <v>0.95</v>
      </c>
      <c r="M89">
        <v>0.15448870000000001</v>
      </c>
      <c r="N89">
        <v>0.24730463999999999</v>
      </c>
      <c r="O89">
        <v>0.20073174999999999</v>
      </c>
      <c r="Q89">
        <v>6</v>
      </c>
      <c r="R89" t="s">
        <v>4</v>
      </c>
      <c r="S89">
        <v>-0.19014990000000001</v>
      </c>
      <c r="T89">
        <v>0.95</v>
      </c>
      <c r="U89">
        <v>-0.23239380000000001</v>
      </c>
      <c r="V89">
        <v>-0.1479663</v>
      </c>
      <c r="W89">
        <v>0.19014990000000001</v>
      </c>
      <c r="Y89" t="s">
        <v>4</v>
      </c>
      <c r="Z89" s="7">
        <f t="shared" si="11"/>
        <v>5</v>
      </c>
      <c r="AA89" s="7">
        <f t="shared" si="12"/>
        <v>7</v>
      </c>
      <c r="AB89" s="7">
        <f t="shared" si="13"/>
        <v>5</v>
      </c>
      <c r="AC89" s="17">
        <f t="shared" si="10"/>
        <v>5.666666666666667</v>
      </c>
      <c r="AD89">
        <v>7</v>
      </c>
    </row>
    <row r="90" spans="1:30" x14ac:dyDescent="0.2">
      <c r="A90">
        <v>7</v>
      </c>
      <c r="B90" t="s">
        <v>5</v>
      </c>
      <c r="C90">
        <v>0.1478486</v>
      </c>
      <c r="D90">
        <v>0.95</v>
      </c>
      <c r="E90">
        <v>0.1027286</v>
      </c>
      <c r="F90">
        <v>0.19371858</v>
      </c>
      <c r="G90">
        <v>0.1478486</v>
      </c>
      <c r="I90">
        <v>7</v>
      </c>
      <c r="J90" t="s">
        <v>5</v>
      </c>
      <c r="K90">
        <v>0.15989152000000001</v>
      </c>
      <c r="L90">
        <v>0.95</v>
      </c>
      <c r="M90">
        <v>0.1191132</v>
      </c>
      <c r="N90">
        <v>0.20115172000000001</v>
      </c>
      <c r="O90">
        <v>0.15989152000000001</v>
      </c>
      <c r="Q90">
        <v>7</v>
      </c>
      <c r="R90" t="s">
        <v>0</v>
      </c>
      <c r="S90">
        <v>-0.17440259999999999</v>
      </c>
      <c r="T90">
        <v>0.95</v>
      </c>
      <c r="U90">
        <v>-0.21477470000000001</v>
      </c>
      <c r="V90">
        <v>-0.13390489999999999</v>
      </c>
      <c r="W90">
        <v>0.17440259999999999</v>
      </c>
    </row>
    <row r="91" spans="1:30" x14ac:dyDescent="0.2">
      <c r="A91">
        <v>8</v>
      </c>
      <c r="B91" t="s">
        <v>9</v>
      </c>
      <c r="C91">
        <v>-0.1237123</v>
      </c>
      <c r="D91">
        <v>0.95</v>
      </c>
      <c r="E91">
        <v>-0.16873340000000001</v>
      </c>
      <c r="F91">
        <v>-7.8633149999999999E-2</v>
      </c>
      <c r="G91">
        <v>0.1237123</v>
      </c>
      <c r="I91">
        <v>8</v>
      </c>
      <c r="J91" t="s">
        <v>4</v>
      </c>
      <c r="K91">
        <v>-8.9842939999999996E-2</v>
      </c>
      <c r="L91">
        <v>0.95</v>
      </c>
      <c r="M91">
        <v>-0.1284564</v>
      </c>
      <c r="N91">
        <v>-5.127425E-2</v>
      </c>
      <c r="O91">
        <v>8.9842939999999996E-2</v>
      </c>
      <c r="Q91">
        <v>8</v>
      </c>
      <c r="R91" t="s">
        <v>9</v>
      </c>
      <c r="S91">
        <v>-0.1646774</v>
      </c>
      <c r="T91">
        <v>0.95</v>
      </c>
      <c r="U91">
        <v>-0.2111024</v>
      </c>
      <c r="V91">
        <v>-0.1181408</v>
      </c>
      <c r="W91">
        <v>0.1646774</v>
      </c>
    </row>
    <row r="93" spans="1:30" x14ac:dyDescent="0.2">
      <c r="A93" s="3" t="s">
        <v>75</v>
      </c>
      <c r="B93" s="5">
        <v>0.70030000000000003</v>
      </c>
      <c r="I93" s="3" t="s">
        <v>75</v>
      </c>
      <c r="J93" s="5">
        <v>0.67130000000000001</v>
      </c>
      <c r="Q93" s="3" t="s">
        <v>75</v>
      </c>
      <c r="R93" s="16">
        <v>0.67559999999999998</v>
      </c>
    </row>
    <row r="95" spans="1:30" x14ac:dyDescent="0.2">
      <c r="B95" s="4">
        <f>B78-B93</f>
        <v>4.7999999999999154E-3</v>
      </c>
      <c r="J95" s="4">
        <f>J78-J93</f>
        <v>1.5100000000000002E-2</v>
      </c>
      <c r="R95" s="4">
        <f>R78-R93</f>
        <v>1.0299999999999976E-2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72F0-0E0C-E942-9225-4F3C4948A84C}">
  <dimension ref="A1:T132"/>
  <sheetViews>
    <sheetView workbookViewId="0">
      <selection activeCell="P4" sqref="P4:P23"/>
    </sheetView>
  </sheetViews>
  <sheetFormatPr baseColWidth="10" defaultRowHeight="16" x14ac:dyDescent="0.2"/>
  <sheetData>
    <row r="1" spans="1:20" x14ac:dyDescent="0.2">
      <c r="A1" s="3" t="s">
        <v>83</v>
      </c>
      <c r="H1" s="3" t="s">
        <v>84</v>
      </c>
      <c r="O1" s="3" t="s">
        <v>85</v>
      </c>
    </row>
    <row r="2" spans="1:20" x14ac:dyDescent="0.2">
      <c r="A2" s="3" t="s">
        <v>65</v>
      </c>
      <c r="B2" s="3" t="s">
        <v>66</v>
      </c>
      <c r="C2" s="3">
        <v>0</v>
      </c>
      <c r="D2" s="3">
        <v>1</v>
      </c>
      <c r="E2" s="3" t="s">
        <v>67</v>
      </c>
      <c r="F2" s="3" t="s">
        <v>68</v>
      </c>
      <c r="H2" s="3" t="s">
        <v>65</v>
      </c>
      <c r="I2" s="3" t="s">
        <v>156</v>
      </c>
      <c r="J2" s="3">
        <v>0</v>
      </c>
      <c r="K2" s="3">
        <v>1</v>
      </c>
      <c r="L2" s="3" t="s">
        <v>157</v>
      </c>
      <c r="M2" s="3" t="s">
        <v>68</v>
      </c>
      <c r="O2" s="3" t="s">
        <v>65</v>
      </c>
      <c r="P2" s="3" t="s">
        <v>156</v>
      </c>
      <c r="Q2" s="3">
        <v>0</v>
      </c>
      <c r="R2" s="3">
        <v>1</v>
      </c>
      <c r="S2" s="3" t="s">
        <v>157</v>
      </c>
      <c r="T2" s="3" t="s">
        <v>68</v>
      </c>
    </row>
    <row r="3" spans="1:20" x14ac:dyDescent="0.2">
      <c r="A3">
        <v>3</v>
      </c>
      <c r="B3" t="s">
        <v>2</v>
      </c>
      <c r="C3">
        <v>19.487778089999999</v>
      </c>
      <c r="D3">
        <v>16.868596</v>
      </c>
      <c r="E3">
        <v>24.996989750000001</v>
      </c>
      <c r="F3">
        <v>69.481196659999995</v>
      </c>
    </row>
    <row r="4" spans="1:20" x14ac:dyDescent="0.2">
      <c r="A4">
        <v>4</v>
      </c>
      <c r="B4" t="s">
        <v>3</v>
      </c>
      <c r="C4">
        <v>17.77109213</v>
      </c>
      <c r="D4">
        <v>16.418090100000001</v>
      </c>
      <c r="E4">
        <v>21.421321157000001</v>
      </c>
      <c r="F4">
        <v>49.900034060000003</v>
      </c>
      <c r="H4">
        <v>1</v>
      </c>
      <c r="I4" t="s">
        <v>5</v>
      </c>
      <c r="J4">
        <v>11.799731546</v>
      </c>
      <c r="K4">
        <v>28.752235299999999</v>
      </c>
      <c r="L4">
        <v>30.050329099999999</v>
      </c>
      <c r="M4">
        <v>81.39687782</v>
      </c>
      <c r="O4">
        <v>1</v>
      </c>
      <c r="P4" t="s">
        <v>3</v>
      </c>
      <c r="Q4">
        <v>15.053129240000001</v>
      </c>
      <c r="R4">
        <v>14.044525070000001</v>
      </c>
      <c r="S4">
        <v>19.791485850000001</v>
      </c>
      <c r="T4">
        <v>49.963933789999999</v>
      </c>
    </row>
    <row r="5" spans="1:20" x14ac:dyDescent="0.2">
      <c r="A5">
        <v>5</v>
      </c>
      <c r="B5" t="s">
        <v>90</v>
      </c>
      <c r="C5">
        <v>10.83061281</v>
      </c>
      <c r="D5">
        <v>18.094605099999999</v>
      </c>
      <c r="E5">
        <v>17.937299971000002</v>
      </c>
      <c r="F5">
        <v>59.2033536</v>
      </c>
      <c r="H5">
        <v>2</v>
      </c>
      <c r="I5" t="s">
        <v>1</v>
      </c>
      <c r="J5">
        <v>19.927706684</v>
      </c>
      <c r="K5">
        <v>25.416976600000002</v>
      </c>
      <c r="L5">
        <v>28.7167636</v>
      </c>
      <c r="M5">
        <v>88.221788079999996</v>
      </c>
      <c r="O5">
        <v>2</v>
      </c>
      <c r="P5" t="s">
        <v>2</v>
      </c>
      <c r="Q5">
        <v>12.32360931</v>
      </c>
      <c r="R5">
        <v>13.699118336</v>
      </c>
      <c r="S5">
        <v>17.928357080000001</v>
      </c>
      <c r="T5">
        <v>39.433772310000002</v>
      </c>
    </row>
    <row r="6" spans="1:20" x14ac:dyDescent="0.2">
      <c r="A6">
        <v>6</v>
      </c>
      <c r="B6" t="s">
        <v>13</v>
      </c>
      <c r="C6">
        <v>10.45971602</v>
      </c>
      <c r="D6">
        <v>11.220929999999999</v>
      </c>
      <c r="E6">
        <v>16.017536138000001</v>
      </c>
      <c r="F6">
        <v>47.411506840000001</v>
      </c>
      <c r="H6">
        <v>3</v>
      </c>
      <c r="I6" t="s">
        <v>12</v>
      </c>
      <c r="J6">
        <v>21.51739233</v>
      </c>
      <c r="K6">
        <v>17.7824654</v>
      </c>
      <c r="L6">
        <v>25.539412200000001</v>
      </c>
      <c r="M6">
        <v>81.849900739999995</v>
      </c>
      <c r="O6">
        <v>3</v>
      </c>
      <c r="P6" t="s">
        <v>1</v>
      </c>
      <c r="Q6">
        <v>15.12677691</v>
      </c>
      <c r="R6">
        <v>9.2560061749999996</v>
      </c>
      <c r="S6">
        <v>17.405655629999998</v>
      </c>
      <c r="T6">
        <v>64.590624840000004</v>
      </c>
    </row>
    <row r="7" spans="1:20" x14ac:dyDescent="0.2">
      <c r="A7">
        <v>7</v>
      </c>
      <c r="B7" t="s">
        <v>8</v>
      </c>
      <c r="C7">
        <v>9.3724097400000002</v>
      </c>
      <c r="D7">
        <v>14.184523499999999</v>
      </c>
      <c r="E7">
        <v>16.001478221999999</v>
      </c>
      <c r="F7">
        <v>50.803528460000003</v>
      </c>
      <c r="H7">
        <v>4</v>
      </c>
      <c r="I7" t="s">
        <v>3</v>
      </c>
      <c r="J7">
        <v>16.860862753999999</v>
      </c>
      <c r="K7">
        <v>18.8587013</v>
      </c>
      <c r="L7">
        <v>22.857713499999999</v>
      </c>
      <c r="M7">
        <v>52.619620670000003</v>
      </c>
      <c r="O7">
        <v>4</v>
      </c>
      <c r="P7" t="s">
        <v>17</v>
      </c>
      <c r="Q7">
        <v>11.859169639999999</v>
      </c>
      <c r="R7">
        <v>8.5924723679999992</v>
      </c>
      <c r="S7">
        <v>14.3258768</v>
      </c>
      <c r="T7">
        <v>44.067032589999997</v>
      </c>
    </row>
    <row r="8" spans="1:20" x14ac:dyDescent="0.2">
      <c r="A8">
        <v>8</v>
      </c>
      <c r="B8" t="s">
        <v>4</v>
      </c>
      <c r="C8">
        <v>11.79548814</v>
      </c>
      <c r="D8">
        <v>9.7119931000000008</v>
      </c>
      <c r="E8">
        <v>15.439122085999999</v>
      </c>
      <c r="F8">
        <v>50.780520930000002</v>
      </c>
      <c r="H8">
        <v>5</v>
      </c>
      <c r="I8" t="s">
        <v>4</v>
      </c>
      <c r="J8">
        <v>15.885662241</v>
      </c>
      <c r="K8">
        <v>17.0952491</v>
      </c>
      <c r="L8">
        <v>22.6041031</v>
      </c>
      <c r="M8">
        <v>54.157435409999998</v>
      </c>
      <c r="O8">
        <v>5</v>
      </c>
      <c r="P8" t="s">
        <v>5</v>
      </c>
      <c r="Q8">
        <v>6.3971579800000002</v>
      </c>
      <c r="R8">
        <v>12.345290902</v>
      </c>
      <c r="S8">
        <v>13.09399868</v>
      </c>
      <c r="T8">
        <v>26.957452620000002</v>
      </c>
    </row>
    <row r="9" spans="1:20" x14ac:dyDescent="0.2">
      <c r="A9">
        <v>9</v>
      </c>
      <c r="B9" t="s">
        <v>7</v>
      </c>
      <c r="C9">
        <v>13.695157650000001</v>
      </c>
      <c r="D9">
        <v>7.4726718999999999</v>
      </c>
      <c r="E9">
        <v>15.225813173000001</v>
      </c>
      <c r="F9">
        <v>53.207356259999997</v>
      </c>
      <c r="H9">
        <v>6</v>
      </c>
      <c r="I9" t="s">
        <v>21</v>
      </c>
      <c r="J9">
        <v>5.3591239039999996</v>
      </c>
      <c r="K9">
        <v>21.900160899999999</v>
      </c>
      <c r="L9">
        <v>21.878341200000001</v>
      </c>
      <c r="M9">
        <v>57.154784560000003</v>
      </c>
      <c r="O9">
        <v>6</v>
      </c>
      <c r="P9" t="s">
        <v>21</v>
      </c>
      <c r="Q9">
        <v>8.4409315500000002</v>
      </c>
      <c r="R9">
        <v>9.2431187809999997</v>
      </c>
      <c r="S9">
        <v>12.32753029</v>
      </c>
      <c r="T9">
        <v>38.637949370000001</v>
      </c>
    </row>
    <row r="10" spans="1:20" x14ac:dyDescent="0.2">
      <c r="A10">
        <v>10</v>
      </c>
      <c r="B10" t="s">
        <v>6</v>
      </c>
      <c r="C10">
        <v>4.3854830500000004</v>
      </c>
      <c r="D10">
        <v>13.7976142</v>
      </c>
      <c r="E10">
        <v>14.025100961</v>
      </c>
      <c r="F10">
        <v>37.804991430000001</v>
      </c>
      <c r="H10">
        <v>7</v>
      </c>
      <c r="I10" t="s">
        <v>0</v>
      </c>
      <c r="J10">
        <v>13.603253682</v>
      </c>
      <c r="K10">
        <v>19.0720195</v>
      </c>
      <c r="L10">
        <v>20.8108033</v>
      </c>
      <c r="M10">
        <v>44.10561508</v>
      </c>
      <c r="O10">
        <v>7</v>
      </c>
      <c r="P10" t="s">
        <v>24</v>
      </c>
      <c r="Q10">
        <v>5.1280616500000002</v>
      </c>
      <c r="R10">
        <v>9.6348275300000008</v>
      </c>
      <c r="S10">
        <v>10.39210654</v>
      </c>
      <c r="T10">
        <v>28.604957089999999</v>
      </c>
    </row>
    <row r="11" spans="1:20" x14ac:dyDescent="0.2">
      <c r="A11">
        <v>11</v>
      </c>
      <c r="B11" t="s">
        <v>10</v>
      </c>
      <c r="C11">
        <v>10.23276216</v>
      </c>
      <c r="D11">
        <v>9.2418692</v>
      </c>
      <c r="E11">
        <v>13.550716497</v>
      </c>
      <c r="F11">
        <v>38.584707270000003</v>
      </c>
      <c r="H11">
        <v>8</v>
      </c>
      <c r="I11" t="s">
        <v>24</v>
      </c>
      <c r="J11">
        <v>14.895296545000001</v>
      </c>
      <c r="K11">
        <v>12.361898399999999</v>
      </c>
      <c r="L11">
        <v>17.7194541</v>
      </c>
      <c r="M11">
        <v>41.864678499999997</v>
      </c>
      <c r="O11">
        <v>8</v>
      </c>
      <c r="P11" t="s">
        <v>6</v>
      </c>
      <c r="Q11">
        <v>-0.11219446</v>
      </c>
      <c r="R11">
        <v>11.362627246000001</v>
      </c>
      <c r="S11">
        <v>10.18701699</v>
      </c>
      <c r="T11">
        <v>25.083941190000001</v>
      </c>
    </row>
    <row r="12" spans="1:20" x14ac:dyDescent="0.2">
      <c r="A12">
        <v>12</v>
      </c>
      <c r="B12" t="s">
        <v>5</v>
      </c>
      <c r="C12">
        <v>7.1060480500000001</v>
      </c>
      <c r="D12">
        <v>12.2439318</v>
      </c>
      <c r="E12">
        <v>13.538204119</v>
      </c>
      <c r="F12">
        <v>29.902670189999998</v>
      </c>
      <c r="H12">
        <v>9</v>
      </c>
      <c r="I12" t="s">
        <v>9</v>
      </c>
      <c r="J12">
        <v>4.6194007360000002</v>
      </c>
      <c r="K12">
        <v>16.927212399999998</v>
      </c>
      <c r="L12">
        <v>17.489930600000001</v>
      </c>
      <c r="M12">
        <v>47.038758940000001</v>
      </c>
      <c r="O12">
        <v>9</v>
      </c>
      <c r="P12" t="s">
        <v>7</v>
      </c>
      <c r="Q12">
        <v>9.1712174100000006</v>
      </c>
      <c r="R12">
        <v>3.89760142</v>
      </c>
      <c r="S12">
        <v>9.8456218799999995</v>
      </c>
      <c r="T12">
        <v>32.405403440000001</v>
      </c>
    </row>
    <row r="13" spans="1:20" x14ac:dyDescent="0.2">
      <c r="A13">
        <v>13</v>
      </c>
      <c r="B13" t="s">
        <v>12</v>
      </c>
      <c r="C13">
        <v>12.3836149</v>
      </c>
      <c r="D13">
        <v>6.7696899999999998</v>
      </c>
      <c r="E13">
        <v>13.384875834000001</v>
      </c>
      <c r="F13">
        <v>52.016532869999999</v>
      </c>
      <c r="H13">
        <v>10</v>
      </c>
      <c r="I13" t="s">
        <v>2</v>
      </c>
      <c r="J13">
        <v>15.127688394</v>
      </c>
      <c r="K13">
        <v>12.4476578</v>
      </c>
      <c r="L13">
        <v>17.308199200000001</v>
      </c>
      <c r="M13">
        <v>33.934192539999998</v>
      </c>
      <c r="O13">
        <v>10</v>
      </c>
      <c r="P13" t="s">
        <v>28</v>
      </c>
      <c r="Q13">
        <v>3.10268225</v>
      </c>
      <c r="R13">
        <v>9.6140938790000003</v>
      </c>
      <c r="S13">
        <v>9.7420695399999993</v>
      </c>
      <c r="T13">
        <v>34.818312689999999</v>
      </c>
    </row>
    <row r="14" spans="1:20" x14ac:dyDescent="0.2">
      <c r="A14">
        <v>14</v>
      </c>
      <c r="B14" t="s">
        <v>91</v>
      </c>
      <c r="C14">
        <v>11.58710756</v>
      </c>
      <c r="D14">
        <v>6.4228518000000001</v>
      </c>
      <c r="E14">
        <v>13.01755341</v>
      </c>
      <c r="F14">
        <v>43.187519709999997</v>
      </c>
      <c r="H14">
        <v>11</v>
      </c>
      <c r="I14" t="s">
        <v>7</v>
      </c>
      <c r="J14">
        <v>15.031322676</v>
      </c>
      <c r="K14">
        <v>8.3448293000000007</v>
      </c>
      <c r="L14">
        <v>17.092538099999999</v>
      </c>
      <c r="M14">
        <v>50.94295443</v>
      </c>
      <c r="O14">
        <v>11</v>
      </c>
      <c r="P14" t="s">
        <v>4</v>
      </c>
      <c r="Q14">
        <v>6.52518917</v>
      </c>
      <c r="R14">
        <v>6.9379803820000001</v>
      </c>
      <c r="S14">
        <v>9.6849704899999995</v>
      </c>
      <c r="T14">
        <v>42.135715220000002</v>
      </c>
    </row>
    <row r="15" spans="1:20" x14ac:dyDescent="0.2">
      <c r="A15">
        <v>15</v>
      </c>
      <c r="B15" t="s">
        <v>11</v>
      </c>
      <c r="C15">
        <v>9.1242952699999993</v>
      </c>
      <c r="D15">
        <v>6.8090133000000002</v>
      </c>
      <c r="E15">
        <v>11.608205143999999</v>
      </c>
      <c r="F15">
        <v>41.65723466</v>
      </c>
      <c r="H15">
        <v>12</v>
      </c>
      <c r="I15" t="s">
        <v>28</v>
      </c>
      <c r="J15">
        <v>11.794478016999999</v>
      </c>
      <c r="K15">
        <v>14.4367239</v>
      </c>
      <c r="L15">
        <v>16.475380300000001</v>
      </c>
      <c r="M15">
        <v>51.722695690000002</v>
      </c>
      <c r="O15">
        <v>12</v>
      </c>
      <c r="P15" t="s">
        <v>26</v>
      </c>
      <c r="Q15">
        <v>5.8899530999999996</v>
      </c>
      <c r="R15">
        <v>6.4828256900000003</v>
      </c>
      <c r="S15">
        <v>9.4163022099999996</v>
      </c>
      <c r="T15">
        <v>31.392782090000001</v>
      </c>
    </row>
    <row r="16" spans="1:20" x14ac:dyDescent="0.2">
      <c r="A16">
        <v>16</v>
      </c>
      <c r="B16" t="s">
        <v>26</v>
      </c>
      <c r="C16">
        <v>9.1013096499999993</v>
      </c>
      <c r="D16">
        <v>5.2127783000000001</v>
      </c>
      <c r="E16">
        <v>10.607118075000001</v>
      </c>
      <c r="F16">
        <v>37.412797349999998</v>
      </c>
      <c r="H16">
        <v>13</v>
      </c>
      <c r="I16" t="s">
        <v>90</v>
      </c>
      <c r="J16">
        <v>5.9208454609999999</v>
      </c>
      <c r="K16">
        <v>14.676631199999999</v>
      </c>
      <c r="L16">
        <v>14.110280899999999</v>
      </c>
      <c r="M16">
        <v>34.301776789999998</v>
      </c>
      <c r="O16">
        <v>13</v>
      </c>
      <c r="P16" t="s">
        <v>0</v>
      </c>
      <c r="Q16">
        <v>4.0510028199999999</v>
      </c>
      <c r="R16">
        <v>8.0557333230000001</v>
      </c>
      <c r="S16">
        <v>9.0757723600000002</v>
      </c>
      <c r="T16">
        <v>19.89811401</v>
      </c>
    </row>
    <row r="17" spans="1:20" x14ac:dyDescent="0.2">
      <c r="A17">
        <v>17</v>
      </c>
      <c r="B17" t="s">
        <v>9</v>
      </c>
      <c r="C17">
        <v>6.3026565100000003</v>
      </c>
      <c r="D17">
        <v>8.6724031000000004</v>
      </c>
      <c r="E17">
        <v>10.557990497</v>
      </c>
      <c r="F17">
        <v>37.546131979999998</v>
      </c>
      <c r="H17">
        <v>14</v>
      </c>
      <c r="I17" t="s">
        <v>10</v>
      </c>
      <c r="J17">
        <v>9.8152853960000002</v>
      </c>
      <c r="K17">
        <v>10.3791213</v>
      </c>
      <c r="L17">
        <v>14.0493644</v>
      </c>
      <c r="M17">
        <v>33.581019550000001</v>
      </c>
      <c r="O17">
        <v>14</v>
      </c>
      <c r="P17" t="s">
        <v>35</v>
      </c>
      <c r="Q17">
        <v>4.98359153</v>
      </c>
      <c r="R17">
        <v>8.0889751319999998</v>
      </c>
      <c r="S17">
        <v>8.9791186199999995</v>
      </c>
      <c r="T17">
        <v>34.79782522</v>
      </c>
    </row>
    <row r="18" spans="1:20" x14ac:dyDescent="0.2">
      <c r="A18">
        <v>18</v>
      </c>
      <c r="B18" t="s">
        <v>19</v>
      </c>
      <c r="C18">
        <v>4.7013702999999998</v>
      </c>
      <c r="D18">
        <v>10.337341</v>
      </c>
      <c r="E18">
        <v>10.426544081999999</v>
      </c>
      <c r="F18">
        <v>18.956068049999999</v>
      </c>
      <c r="H18">
        <v>15</v>
      </c>
      <c r="I18" t="s">
        <v>8</v>
      </c>
      <c r="J18">
        <v>6.2969917860000004</v>
      </c>
      <c r="K18">
        <v>11.448382499999999</v>
      </c>
      <c r="L18">
        <v>14.0026378</v>
      </c>
      <c r="M18">
        <v>34.58293518</v>
      </c>
      <c r="O18">
        <v>15</v>
      </c>
      <c r="P18" t="s">
        <v>91</v>
      </c>
      <c r="Q18">
        <v>7.6539636099999999</v>
      </c>
      <c r="R18">
        <v>4.3963025179999997</v>
      </c>
      <c r="S18">
        <v>8.8572038499999994</v>
      </c>
      <c r="T18">
        <v>25.473191050000001</v>
      </c>
    </row>
    <row r="19" spans="1:20" x14ac:dyDescent="0.2">
      <c r="A19">
        <v>19</v>
      </c>
      <c r="B19" t="s">
        <v>24</v>
      </c>
      <c r="C19">
        <v>7.8513573799999996</v>
      </c>
      <c r="D19">
        <v>5.8659882000000003</v>
      </c>
      <c r="E19">
        <v>9.8727973020000004</v>
      </c>
      <c r="F19">
        <v>25.95705122</v>
      </c>
      <c r="H19">
        <v>16</v>
      </c>
      <c r="I19" t="s">
        <v>13</v>
      </c>
      <c r="J19">
        <v>9.3534178659999991</v>
      </c>
      <c r="K19">
        <v>8.2021578000000002</v>
      </c>
      <c r="L19">
        <v>13.449964899999999</v>
      </c>
      <c r="M19">
        <v>35.572319759999999</v>
      </c>
      <c r="O19">
        <v>16</v>
      </c>
      <c r="P19" t="s">
        <v>14</v>
      </c>
      <c r="Q19">
        <v>2.8769130700000001</v>
      </c>
      <c r="R19">
        <v>8.2989194469999994</v>
      </c>
      <c r="S19">
        <v>8.4170425499999997</v>
      </c>
      <c r="T19">
        <v>28.532011050000001</v>
      </c>
    </row>
    <row r="20" spans="1:20" x14ac:dyDescent="0.2">
      <c r="A20">
        <v>20</v>
      </c>
      <c r="B20" t="s">
        <v>21</v>
      </c>
      <c r="C20">
        <v>4.2095008399999996</v>
      </c>
      <c r="D20">
        <v>7.7312333999999998</v>
      </c>
      <c r="E20">
        <v>9.2884734719999997</v>
      </c>
      <c r="F20">
        <v>35.998398899999998</v>
      </c>
      <c r="H20">
        <v>17</v>
      </c>
      <c r="I20" t="s">
        <v>40</v>
      </c>
      <c r="J20">
        <v>5.677714173</v>
      </c>
      <c r="K20">
        <v>11.752784399999999</v>
      </c>
      <c r="L20">
        <v>13.339117</v>
      </c>
      <c r="M20">
        <v>31.52891296</v>
      </c>
      <c r="O20">
        <v>17</v>
      </c>
      <c r="P20" t="s">
        <v>18</v>
      </c>
      <c r="Q20">
        <v>1.78100339</v>
      </c>
      <c r="R20">
        <v>7.6356476039999999</v>
      </c>
      <c r="S20">
        <v>8.4038736000000007</v>
      </c>
      <c r="T20">
        <v>7.6559807800000002</v>
      </c>
    </row>
    <row r="21" spans="1:20" x14ac:dyDescent="0.2">
      <c r="A21">
        <v>21</v>
      </c>
      <c r="B21" t="s">
        <v>92</v>
      </c>
      <c r="C21">
        <v>7.0240611299999998</v>
      </c>
      <c r="D21">
        <v>5.1273828999999997</v>
      </c>
      <c r="E21">
        <v>9.2085803619999993</v>
      </c>
      <c r="F21">
        <v>32.601686780000001</v>
      </c>
      <c r="H21">
        <v>18</v>
      </c>
      <c r="I21" t="s">
        <v>14</v>
      </c>
      <c r="J21">
        <v>7.8213222949999999</v>
      </c>
      <c r="K21">
        <v>10.964629</v>
      </c>
      <c r="L21">
        <v>13.1224705</v>
      </c>
      <c r="M21">
        <v>30.08119877</v>
      </c>
      <c r="O21">
        <v>18</v>
      </c>
      <c r="P21" t="s">
        <v>34</v>
      </c>
      <c r="Q21">
        <v>6.6927169700000002</v>
      </c>
      <c r="R21">
        <v>4.3626183440000004</v>
      </c>
      <c r="S21">
        <v>8.3712773200000008</v>
      </c>
      <c r="T21">
        <v>26.070104839999999</v>
      </c>
    </row>
    <row r="22" spans="1:20" x14ac:dyDescent="0.2">
      <c r="A22">
        <v>22</v>
      </c>
      <c r="B22" t="s">
        <v>22</v>
      </c>
      <c r="C22">
        <v>9.6959175599999998</v>
      </c>
      <c r="D22">
        <v>3.3003526999999999</v>
      </c>
      <c r="E22">
        <v>9.1974852069999997</v>
      </c>
      <c r="F22">
        <v>29.071384219999999</v>
      </c>
      <c r="H22">
        <v>19</v>
      </c>
      <c r="I22" t="s">
        <v>17</v>
      </c>
      <c r="J22">
        <v>8.5882768739999999</v>
      </c>
      <c r="K22">
        <v>9.2884040999999993</v>
      </c>
      <c r="L22">
        <v>12.773071399999999</v>
      </c>
      <c r="M22">
        <v>35.741212769999997</v>
      </c>
      <c r="O22">
        <v>19</v>
      </c>
      <c r="P22" t="s">
        <v>9</v>
      </c>
      <c r="Q22">
        <v>4.0824389999999999</v>
      </c>
      <c r="R22">
        <v>5.5711895240000002</v>
      </c>
      <c r="S22">
        <v>7.4164594599999996</v>
      </c>
      <c r="T22">
        <v>31.29721675</v>
      </c>
    </row>
    <row r="23" spans="1:20" x14ac:dyDescent="0.2">
      <c r="A23">
        <v>23</v>
      </c>
      <c r="B23" t="s">
        <v>16</v>
      </c>
      <c r="C23">
        <v>7.7524622900000004</v>
      </c>
      <c r="D23">
        <v>4.3565171999999999</v>
      </c>
      <c r="E23">
        <v>8.8597928919999998</v>
      </c>
      <c r="F23">
        <v>28.35212026</v>
      </c>
      <c r="H23">
        <v>20</v>
      </c>
      <c r="I23" t="s">
        <v>31</v>
      </c>
      <c r="J23">
        <v>8.2351632289999994</v>
      </c>
      <c r="K23">
        <v>9.1273236999999998</v>
      </c>
      <c r="L23">
        <v>12.615005099999999</v>
      </c>
      <c r="M23">
        <v>34.75320644</v>
      </c>
      <c r="O23">
        <v>20</v>
      </c>
      <c r="P23" t="s">
        <v>10</v>
      </c>
      <c r="Q23">
        <v>6.0463850399999997</v>
      </c>
      <c r="R23">
        <v>3.0144087869999998</v>
      </c>
      <c r="S23">
        <v>7.31075797</v>
      </c>
      <c r="T23">
        <v>28.812811190000001</v>
      </c>
    </row>
    <row r="24" spans="1:20" x14ac:dyDescent="0.2">
      <c r="A24">
        <v>24</v>
      </c>
      <c r="B24" t="s">
        <v>27</v>
      </c>
      <c r="C24">
        <v>6.8269835800000003</v>
      </c>
      <c r="D24">
        <v>5.8238346999999999</v>
      </c>
      <c r="E24">
        <v>8.7262608729999993</v>
      </c>
      <c r="F24">
        <v>16.08190261</v>
      </c>
      <c r="H24">
        <v>21</v>
      </c>
      <c r="I24" t="s">
        <v>18</v>
      </c>
      <c r="J24">
        <v>0.74211924399999996</v>
      </c>
      <c r="K24">
        <v>11.675159300000001</v>
      </c>
      <c r="L24">
        <v>12.5599737</v>
      </c>
      <c r="M24">
        <v>14.736447310000001</v>
      </c>
      <c r="O24">
        <v>21</v>
      </c>
      <c r="P24" t="s">
        <v>39</v>
      </c>
      <c r="Q24">
        <v>1.25140137</v>
      </c>
      <c r="R24">
        <v>8.5308256599999996</v>
      </c>
      <c r="S24">
        <v>7.0055236000000001</v>
      </c>
      <c r="T24">
        <v>32.499409229999998</v>
      </c>
    </row>
    <row r="25" spans="1:20" x14ac:dyDescent="0.2">
      <c r="A25">
        <v>25</v>
      </c>
      <c r="B25" t="s">
        <v>36</v>
      </c>
      <c r="C25">
        <v>2.8549572900000002</v>
      </c>
      <c r="D25">
        <v>8.8993304999999996</v>
      </c>
      <c r="E25">
        <v>8.7080536530000003</v>
      </c>
      <c r="F25">
        <v>34.747953129999999</v>
      </c>
      <c r="H25">
        <v>22</v>
      </c>
      <c r="I25" t="s">
        <v>39</v>
      </c>
      <c r="J25">
        <v>7.7356583920000004</v>
      </c>
      <c r="K25">
        <v>9.2505290999999996</v>
      </c>
      <c r="L25">
        <v>11.7947054</v>
      </c>
      <c r="M25">
        <v>37.503279499999998</v>
      </c>
      <c r="O25">
        <v>22</v>
      </c>
      <c r="P25" t="s">
        <v>25</v>
      </c>
      <c r="Q25">
        <v>6.6727165700000004</v>
      </c>
      <c r="R25">
        <v>3.13814115</v>
      </c>
      <c r="S25">
        <v>6.9937028000000003</v>
      </c>
      <c r="T25">
        <v>31.94692547</v>
      </c>
    </row>
    <row r="26" spans="1:20" x14ac:dyDescent="0.2">
      <c r="A26">
        <v>26</v>
      </c>
      <c r="B26" t="s">
        <v>93</v>
      </c>
      <c r="C26">
        <v>4.5640250699999996</v>
      </c>
      <c r="D26">
        <v>7.9667354000000001</v>
      </c>
      <c r="E26">
        <v>8.7073625840000002</v>
      </c>
      <c r="F26">
        <v>31.700100670000001</v>
      </c>
      <c r="H26">
        <v>23</v>
      </c>
      <c r="I26" t="s">
        <v>6</v>
      </c>
      <c r="J26">
        <v>-2.1055666849999999</v>
      </c>
      <c r="K26">
        <v>13.7346541</v>
      </c>
      <c r="L26">
        <v>11.771293699999999</v>
      </c>
      <c r="M26">
        <v>28.545249219999999</v>
      </c>
      <c r="O26">
        <v>23</v>
      </c>
      <c r="P26" t="s">
        <v>11</v>
      </c>
      <c r="Q26">
        <v>7.5253395799999998</v>
      </c>
      <c r="R26">
        <v>2.0968612389999999</v>
      </c>
      <c r="S26">
        <v>6.70179334</v>
      </c>
      <c r="T26">
        <v>29.689590559999999</v>
      </c>
    </row>
    <row r="27" spans="1:20" x14ac:dyDescent="0.2">
      <c r="A27">
        <v>27</v>
      </c>
      <c r="B27" t="s">
        <v>18</v>
      </c>
      <c r="C27">
        <v>2.8377424599999999</v>
      </c>
      <c r="D27">
        <v>7.8391399000000002</v>
      </c>
      <c r="E27">
        <v>8.5988606910000005</v>
      </c>
      <c r="F27">
        <v>7.8394787700000004</v>
      </c>
      <c r="H27">
        <v>24</v>
      </c>
      <c r="I27" t="s">
        <v>15</v>
      </c>
      <c r="J27">
        <v>2.1853639930000002</v>
      </c>
      <c r="K27">
        <v>9.7120554000000006</v>
      </c>
      <c r="L27">
        <v>11.5528824</v>
      </c>
      <c r="M27">
        <v>24.351840729999999</v>
      </c>
      <c r="O27">
        <v>24</v>
      </c>
      <c r="P27" t="s">
        <v>29</v>
      </c>
      <c r="Q27">
        <v>1.88412344</v>
      </c>
      <c r="R27">
        <v>7.0560905869999999</v>
      </c>
      <c r="S27">
        <v>6.6726616600000002</v>
      </c>
      <c r="T27">
        <v>28.723327210000001</v>
      </c>
    </row>
    <row r="28" spans="1:20" x14ac:dyDescent="0.2">
      <c r="A28">
        <v>28</v>
      </c>
      <c r="B28" t="s">
        <v>20</v>
      </c>
      <c r="C28">
        <v>6.6361392199999996</v>
      </c>
      <c r="D28">
        <v>4.8799149999999996</v>
      </c>
      <c r="E28">
        <v>8.3380014249999999</v>
      </c>
      <c r="F28">
        <v>29.014937539999998</v>
      </c>
      <c r="H28">
        <v>25</v>
      </c>
      <c r="I28" t="s">
        <v>94</v>
      </c>
      <c r="J28">
        <v>3.0546844480000002</v>
      </c>
      <c r="K28">
        <v>10.4610466</v>
      </c>
      <c r="L28">
        <v>11.2093585</v>
      </c>
      <c r="M28">
        <v>29.669255010000001</v>
      </c>
      <c r="O28">
        <v>25</v>
      </c>
      <c r="P28" t="s">
        <v>36</v>
      </c>
      <c r="Q28">
        <v>4.2184666599999998</v>
      </c>
      <c r="R28">
        <v>4.0111487009999998</v>
      </c>
      <c r="S28">
        <v>6.5056048000000004</v>
      </c>
      <c r="T28">
        <v>33.534982030000002</v>
      </c>
    </row>
    <row r="29" spans="1:20" x14ac:dyDescent="0.2">
      <c r="A29">
        <v>29</v>
      </c>
      <c r="B29" t="s">
        <v>25</v>
      </c>
      <c r="C29">
        <v>7.7306276499999997</v>
      </c>
      <c r="D29">
        <v>2.742953</v>
      </c>
      <c r="E29">
        <v>8.1098406339999993</v>
      </c>
      <c r="F29">
        <v>33.462127449999997</v>
      </c>
      <c r="H29">
        <v>26</v>
      </c>
      <c r="I29" t="s">
        <v>35</v>
      </c>
      <c r="J29">
        <v>5.5981496179999999</v>
      </c>
      <c r="K29">
        <v>9.3729074000000008</v>
      </c>
      <c r="L29">
        <v>11.170744300000001</v>
      </c>
      <c r="M29">
        <v>36.167643169999998</v>
      </c>
      <c r="O29">
        <v>26</v>
      </c>
      <c r="P29" t="s">
        <v>23</v>
      </c>
      <c r="Q29">
        <v>0.44031247000000001</v>
      </c>
      <c r="R29">
        <v>7.7886575540000003</v>
      </c>
      <c r="S29">
        <v>6.42944169</v>
      </c>
      <c r="T29">
        <v>24.247571709999999</v>
      </c>
    </row>
    <row r="30" spans="1:20" x14ac:dyDescent="0.2">
      <c r="A30">
        <v>30</v>
      </c>
      <c r="B30" t="s">
        <v>30</v>
      </c>
      <c r="C30">
        <v>8.6623603899999999</v>
      </c>
      <c r="D30">
        <v>-0.11445950000000001</v>
      </c>
      <c r="E30">
        <v>7.7952327380000002</v>
      </c>
      <c r="F30">
        <v>33.256188280000003</v>
      </c>
      <c r="H30">
        <v>27</v>
      </c>
      <c r="I30" t="s">
        <v>11</v>
      </c>
      <c r="J30">
        <v>8.470191239</v>
      </c>
      <c r="K30">
        <v>7.0275827</v>
      </c>
      <c r="L30">
        <v>11.1178992</v>
      </c>
      <c r="M30">
        <v>34.407582619999999</v>
      </c>
      <c r="O30">
        <v>27</v>
      </c>
      <c r="P30" t="s">
        <v>30</v>
      </c>
      <c r="Q30">
        <v>2.6983879499999999</v>
      </c>
      <c r="R30">
        <v>5.3579450489999996</v>
      </c>
      <c r="S30">
        <v>6.2373595000000002</v>
      </c>
      <c r="T30">
        <v>28.049173499999998</v>
      </c>
    </row>
    <row r="31" spans="1:20" x14ac:dyDescent="0.2">
      <c r="A31">
        <v>31</v>
      </c>
      <c r="B31" t="s">
        <v>38</v>
      </c>
      <c r="C31">
        <v>3.3907264100000001</v>
      </c>
      <c r="D31">
        <v>7.5002499</v>
      </c>
      <c r="E31">
        <v>7.7047992580000004</v>
      </c>
      <c r="F31">
        <v>9.4195990399999996</v>
      </c>
      <c r="H31">
        <v>28</v>
      </c>
      <c r="I31" t="s">
        <v>47</v>
      </c>
      <c r="J31">
        <v>7.311191515</v>
      </c>
      <c r="K31">
        <v>7.7304729999999999</v>
      </c>
      <c r="L31">
        <v>11.0674999</v>
      </c>
      <c r="M31">
        <v>19.595017940000002</v>
      </c>
      <c r="O31">
        <v>28</v>
      </c>
      <c r="P31" t="s">
        <v>44</v>
      </c>
      <c r="Q31">
        <v>2.9107637300000002</v>
      </c>
      <c r="R31">
        <v>5.498819181</v>
      </c>
      <c r="S31">
        <v>5.8330053099999999</v>
      </c>
      <c r="T31">
        <v>19.0682884</v>
      </c>
    </row>
    <row r="32" spans="1:20" x14ac:dyDescent="0.2">
      <c r="A32">
        <v>32</v>
      </c>
      <c r="B32" t="s">
        <v>94</v>
      </c>
      <c r="C32">
        <v>5.1371945400000003</v>
      </c>
      <c r="D32">
        <v>6.1137873999999996</v>
      </c>
      <c r="E32">
        <v>7.6969760149999997</v>
      </c>
      <c r="F32">
        <v>24.218051590000002</v>
      </c>
      <c r="H32">
        <v>29</v>
      </c>
      <c r="I32" t="s">
        <v>30</v>
      </c>
      <c r="J32">
        <v>7.1819057260000001</v>
      </c>
      <c r="K32">
        <v>7.2862109000000004</v>
      </c>
      <c r="L32">
        <v>10.9738413</v>
      </c>
      <c r="M32">
        <v>31.46432411</v>
      </c>
      <c r="O32">
        <v>29</v>
      </c>
      <c r="P32" t="s">
        <v>12</v>
      </c>
      <c r="Q32">
        <v>3.8967734900000002</v>
      </c>
      <c r="R32">
        <v>4.2610384129999996</v>
      </c>
      <c r="S32">
        <v>5.7814813799999998</v>
      </c>
      <c r="T32">
        <v>29.00928991</v>
      </c>
    </row>
    <row r="33" spans="1:20" x14ac:dyDescent="0.2">
      <c r="A33">
        <v>33</v>
      </c>
      <c r="B33" t="s">
        <v>35</v>
      </c>
      <c r="C33">
        <v>6.5895792599999998</v>
      </c>
      <c r="D33">
        <v>3.8537656999999998</v>
      </c>
      <c r="E33">
        <v>7.6859656420000002</v>
      </c>
      <c r="F33">
        <v>33.727466679999999</v>
      </c>
      <c r="H33">
        <v>30</v>
      </c>
      <c r="I33" t="s">
        <v>33</v>
      </c>
      <c r="J33">
        <v>3.8343512909999999</v>
      </c>
      <c r="K33">
        <v>9.5854368000000001</v>
      </c>
      <c r="L33">
        <v>10.3862074</v>
      </c>
      <c r="M33">
        <v>24.48642517</v>
      </c>
      <c r="O33">
        <v>30</v>
      </c>
      <c r="P33" t="s">
        <v>31</v>
      </c>
      <c r="Q33">
        <v>5.9471634199999999</v>
      </c>
      <c r="R33">
        <v>2.0055995289999999</v>
      </c>
      <c r="S33">
        <v>5.7786110300000004</v>
      </c>
      <c r="T33">
        <v>30.168564010000001</v>
      </c>
    </row>
    <row r="34" spans="1:20" x14ac:dyDescent="0.2">
      <c r="A34">
        <v>34</v>
      </c>
      <c r="B34" t="s">
        <v>95</v>
      </c>
      <c r="C34">
        <v>2.4200762199999999</v>
      </c>
      <c r="D34">
        <v>7.4170524000000002</v>
      </c>
      <c r="E34">
        <v>7.4522447730000003</v>
      </c>
      <c r="F34">
        <v>30.261647790000001</v>
      </c>
      <c r="H34">
        <v>31</v>
      </c>
      <c r="I34" t="s">
        <v>29</v>
      </c>
      <c r="J34">
        <v>6.7124955919999998</v>
      </c>
      <c r="K34">
        <v>8.0083935000000004</v>
      </c>
      <c r="L34">
        <v>10.113446400000001</v>
      </c>
      <c r="M34">
        <v>34.244483559999999</v>
      </c>
      <c r="O34">
        <v>31</v>
      </c>
      <c r="P34" t="s">
        <v>13</v>
      </c>
      <c r="Q34">
        <v>4.5937505300000003</v>
      </c>
      <c r="R34">
        <v>3.0022033260000001</v>
      </c>
      <c r="S34">
        <v>5.7735390200000003</v>
      </c>
      <c r="T34">
        <v>26.267532259999999</v>
      </c>
    </row>
    <row r="35" spans="1:20" x14ac:dyDescent="0.2">
      <c r="A35">
        <v>35</v>
      </c>
      <c r="B35" t="s">
        <v>96</v>
      </c>
      <c r="C35">
        <v>4.1968170999999996</v>
      </c>
      <c r="D35">
        <v>6.1143235000000002</v>
      </c>
      <c r="E35">
        <v>7.1093614909999996</v>
      </c>
      <c r="F35">
        <v>6.4754242800000004</v>
      </c>
      <c r="H35">
        <v>32</v>
      </c>
      <c r="I35" t="s">
        <v>91</v>
      </c>
      <c r="J35">
        <v>10.201153134</v>
      </c>
      <c r="K35">
        <v>1.8997470000000001</v>
      </c>
      <c r="L35">
        <v>9.8335434999999993</v>
      </c>
      <c r="M35">
        <v>22.733657869999998</v>
      </c>
      <c r="O35">
        <v>32</v>
      </c>
      <c r="P35" t="s">
        <v>22</v>
      </c>
      <c r="Q35">
        <v>5.071726</v>
      </c>
      <c r="R35">
        <v>2.6296580889999999</v>
      </c>
      <c r="S35">
        <v>5.76901551</v>
      </c>
      <c r="T35">
        <v>14.269708079999999</v>
      </c>
    </row>
    <row r="36" spans="1:20" x14ac:dyDescent="0.2">
      <c r="A36">
        <v>36</v>
      </c>
      <c r="B36" t="s">
        <v>17</v>
      </c>
      <c r="C36">
        <v>5.2210117299999999</v>
      </c>
      <c r="D36">
        <v>4.8804103999999997</v>
      </c>
      <c r="E36">
        <v>7.015218935</v>
      </c>
      <c r="F36">
        <v>30.73154706</v>
      </c>
      <c r="H36">
        <v>33</v>
      </c>
      <c r="I36" t="s">
        <v>23</v>
      </c>
      <c r="J36">
        <v>5.3217033200000001</v>
      </c>
      <c r="K36">
        <v>7.7838833000000003</v>
      </c>
      <c r="L36">
        <v>9.7977702000000004</v>
      </c>
      <c r="M36">
        <v>23.902562509999999</v>
      </c>
      <c r="O36">
        <v>33</v>
      </c>
      <c r="P36" t="s">
        <v>92</v>
      </c>
      <c r="Q36">
        <v>4.7937756</v>
      </c>
      <c r="R36">
        <v>3.1960308309999998</v>
      </c>
      <c r="S36">
        <v>5.65964255</v>
      </c>
      <c r="T36">
        <v>19.593126739999999</v>
      </c>
    </row>
    <row r="37" spans="1:20" x14ac:dyDescent="0.2">
      <c r="A37">
        <v>37</v>
      </c>
      <c r="B37" t="s">
        <v>42</v>
      </c>
      <c r="C37">
        <v>2.6101143599999999</v>
      </c>
      <c r="D37">
        <v>6.616689</v>
      </c>
      <c r="E37">
        <v>6.8973184239999998</v>
      </c>
      <c r="F37">
        <v>9.09497511</v>
      </c>
      <c r="H37">
        <v>34</v>
      </c>
      <c r="I37" t="s">
        <v>25</v>
      </c>
      <c r="J37">
        <v>-0.60781740399999995</v>
      </c>
      <c r="K37">
        <v>13.1413815</v>
      </c>
      <c r="L37">
        <v>9.7027254000000003</v>
      </c>
      <c r="M37">
        <v>33.956186150000001</v>
      </c>
      <c r="O37">
        <v>34</v>
      </c>
      <c r="P37" t="s">
        <v>56</v>
      </c>
      <c r="Q37">
        <v>5.8966500399999999</v>
      </c>
      <c r="R37">
        <v>1.517860411</v>
      </c>
      <c r="S37">
        <v>5.6011509300000002</v>
      </c>
      <c r="T37">
        <v>7.2058424099999998</v>
      </c>
    </row>
    <row r="38" spans="1:20" x14ac:dyDescent="0.2">
      <c r="A38">
        <v>38</v>
      </c>
      <c r="B38" t="s">
        <v>50</v>
      </c>
      <c r="C38">
        <v>3.1795909099999999</v>
      </c>
      <c r="D38">
        <v>6.7931600000000003</v>
      </c>
      <c r="E38">
        <v>6.7503269389999998</v>
      </c>
      <c r="F38">
        <v>8.3527856800000002</v>
      </c>
      <c r="H38">
        <v>35</v>
      </c>
      <c r="I38" t="s">
        <v>36</v>
      </c>
      <c r="J38">
        <v>6.9909969700000003</v>
      </c>
      <c r="K38">
        <v>6.7684084000000002</v>
      </c>
      <c r="L38">
        <v>9.5506270999999998</v>
      </c>
      <c r="M38">
        <v>33.923485499999998</v>
      </c>
      <c r="O38">
        <v>35</v>
      </c>
      <c r="P38" t="s">
        <v>19</v>
      </c>
      <c r="Q38">
        <v>3.7100647100000002</v>
      </c>
      <c r="R38">
        <v>3.9383007939999999</v>
      </c>
      <c r="S38">
        <v>5.4936580800000003</v>
      </c>
      <c r="T38">
        <v>18.8622297</v>
      </c>
    </row>
    <row r="39" spans="1:20" x14ac:dyDescent="0.2">
      <c r="A39">
        <v>39</v>
      </c>
      <c r="B39" t="s">
        <v>43</v>
      </c>
      <c r="C39">
        <v>3.99904196</v>
      </c>
      <c r="D39">
        <v>5.5320720999999997</v>
      </c>
      <c r="E39">
        <v>6.6737323350000004</v>
      </c>
      <c r="F39">
        <v>9.2069202000000008</v>
      </c>
      <c r="H39">
        <v>36</v>
      </c>
      <c r="I39" t="s">
        <v>37</v>
      </c>
      <c r="J39">
        <v>7.4450519039999996</v>
      </c>
      <c r="K39">
        <v>6.1155420999999999</v>
      </c>
      <c r="L39">
        <v>9.4239605999999991</v>
      </c>
      <c r="M39">
        <v>12.37725069</v>
      </c>
      <c r="O39">
        <v>36</v>
      </c>
      <c r="P39" t="s">
        <v>90</v>
      </c>
      <c r="Q39">
        <v>2.3160087900000002</v>
      </c>
      <c r="R39">
        <v>4.3824611689999999</v>
      </c>
      <c r="S39">
        <v>5.25796478</v>
      </c>
      <c r="T39">
        <v>21.202150670000002</v>
      </c>
    </row>
    <row r="40" spans="1:20" x14ac:dyDescent="0.2">
      <c r="A40">
        <v>40</v>
      </c>
      <c r="B40" t="s">
        <v>33</v>
      </c>
      <c r="C40">
        <v>5.13627477</v>
      </c>
      <c r="D40">
        <v>4.0731453000000002</v>
      </c>
      <c r="E40">
        <v>6.5688386300000001</v>
      </c>
      <c r="F40">
        <v>24.270788700000001</v>
      </c>
      <c r="H40">
        <v>37</v>
      </c>
      <c r="I40" t="s">
        <v>53</v>
      </c>
      <c r="J40">
        <v>7.3415732010000001</v>
      </c>
      <c r="K40">
        <v>5.1858867000000002</v>
      </c>
      <c r="L40">
        <v>9.2160819000000007</v>
      </c>
      <c r="M40">
        <v>15.87638171</v>
      </c>
      <c r="O40">
        <v>37</v>
      </c>
      <c r="P40" t="s">
        <v>93</v>
      </c>
      <c r="Q40">
        <v>1.5055052600000001</v>
      </c>
      <c r="R40">
        <v>5.661907394</v>
      </c>
      <c r="S40">
        <v>5.0554754800000001</v>
      </c>
      <c r="T40">
        <v>28.532348070000001</v>
      </c>
    </row>
    <row r="41" spans="1:20" x14ac:dyDescent="0.2">
      <c r="A41">
        <v>41</v>
      </c>
      <c r="B41" t="s">
        <v>47</v>
      </c>
      <c r="C41">
        <v>5.6342235799999996</v>
      </c>
      <c r="D41">
        <v>3.1443226000000002</v>
      </c>
      <c r="E41">
        <v>6.4523201720000003</v>
      </c>
      <c r="F41">
        <v>17.786630670000001</v>
      </c>
      <c r="H41">
        <v>38</v>
      </c>
      <c r="I41" t="s">
        <v>16</v>
      </c>
      <c r="J41">
        <v>6.0301582649999999</v>
      </c>
      <c r="K41">
        <v>6.3046158999999999</v>
      </c>
      <c r="L41">
        <v>9.1389071000000008</v>
      </c>
      <c r="M41">
        <v>19.960542239999999</v>
      </c>
      <c r="O41">
        <v>38</v>
      </c>
      <c r="P41" t="s">
        <v>60</v>
      </c>
      <c r="Q41">
        <v>2.3417858100000002</v>
      </c>
      <c r="R41">
        <v>4.14489076</v>
      </c>
      <c r="S41">
        <v>5.0506485200000002</v>
      </c>
      <c r="T41">
        <v>6.1145921799999998</v>
      </c>
    </row>
    <row r="42" spans="1:20" x14ac:dyDescent="0.2">
      <c r="A42">
        <v>42</v>
      </c>
      <c r="B42" t="s">
        <v>28</v>
      </c>
      <c r="C42">
        <v>6.6629255799999996</v>
      </c>
      <c r="D42">
        <v>1.9404855000000001</v>
      </c>
      <c r="E42">
        <v>6.4016988259999996</v>
      </c>
      <c r="F42">
        <v>33.422590030000002</v>
      </c>
      <c r="H42">
        <v>39</v>
      </c>
      <c r="I42" t="s">
        <v>51</v>
      </c>
      <c r="J42">
        <v>6.98251797</v>
      </c>
      <c r="K42">
        <v>6.9852856000000001</v>
      </c>
      <c r="L42">
        <v>9.0528315999999993</v>
      </c>
      <c r="M42">
        <v>8.3135103499999996</v>
      </c>
      <c r="O42">
        <v>39</v>
      </c>
      <c r="P42" t="s">
        <v>32</v>
      </c>
      <c r="Q42">
        <v>4.4381614100000002</v>
      </c>
      <c r="R42">
        <v>2.4211604040000001</v>
      </c>
      <c r="S42">
        <v>4.9939632500000002</v>
      </c>
      <c r="T42">
        <v>26.310682320000002</v>
      </c>
    </row>
    <row r="43" spans="1:20" x14ac:dyDescent="0.2">
      <c r="A43">
        <v>43</v>
      </c>
      <c r="B43" t="s">
        <v>97</v>
      </c>
      <c r="C43">
        <v>4.5701703199999999</v>
      </c>
      <c r="D43">
        <v>4.0100964000000001</v>
      </c>
      <c r="E43">
        <v>6.3961885709999997</v>
      </c>
      <c r="F43">
        <v>27.664916300000002</v>
      </c>
      <c r="H43">
        <v>40</v>
      </c>
      <c r="I43" t="s">
        <v>46</v>
      </c>
      <c r="J43">
        <v>4.4974563600000002</v>
      </c>
      <c r="K43">
        <v>8.0888776999999994</v>
      </c>
      <c r="L43">
        <v>8.8854073000000007</v>
      </c>
      <c r="M43">
        <v>34.01174425</v>
      </c>
      <c r="O43">
        <v>40</v>
      </c>
      <c r="P43" t="s">
        <v>33</v>
      </c>
      <c r="Q43">
        <v>1.28244191</v>
      </c>
      <c r="R43">
        <v>5.320588259</v>
      </c>
      <c r="S43">
        <v>4.8132550199999997</v>
      </c>
      <c r="T43">
        <v>20.435643079999998</v>
      </c>
    </row>
    <row r="44" spans="1:20" x14ac:dyDescent="0.2">
      <c r="A44">
        <v>44</v>
      </c>
      <c r="B44" t="s">
        <v>49</v>
      </c>
      <c r="C44">
        <v>3.9141335599999998</v>
      </c>
      <c r="D44">
        <v>5.5198314000000002</v>
      </c>
      <c r="E44">
        <v>6.3938866110000001</v>
      </c>
      <c r="F44">
        <v>5.4532372200000001</v>
      </c>
      <c r="H44">
        <v>41</v>
      </c>
      <c r="I44" t="s">
        <v>44</v>
      </c>
      <c r="J44">
        <v>4.0244519710000004</v>
      </c>
      <c r="K44">
        <v>8.1171263000000007</v>
      </c>
      <c r="L44">
        <v>8.8660882000000001</v>
      </c>
      <c r="M44">
        <v>16.440062910000002</v>
      </c>
      <c r="O44">
        <v>41</v>
      </c>
      <c r="P44" t="s">
        <v>15</v>
      </c>
      <c r="Q44">
        <v>0.25785917000000003</v>
      </c>
      <c r="R44">
        <v>5.7335827930000001</v>
      </c>
      <c r="S44">
        <v>4.7050758799999999</v>
      </c>
      <c r="T44">
        <v>20.366984089999999</v>
      </c>
    </row>
    <row r="45" spans="1:20" x14ac:dyDescent="0.2">
      <c r="A45">
        <v>45</v>
      </c>
      <c r="B45" t="s">
        <v>14</v>
      </c>
      <c r="C45">
        <v>3.36088663</v>
      </c>
      <c r="D45">
        <v>4.7094024000000001</v>
      </c>
      <c r="E45">
        <v>6.1559242249999997</v>
      </c>
      <c r="F45">
        <v>27.231772790000001</v>
      </c>
      <c r="H45">
        <v>42</v>
      </c>
      <c r="I45" t="s">
        <v>112</v>
      </c>
      <c r="J45">
        <v>6.4369244090000004</v>
      </c>
      <c r="K45">
        <v>4.1795553999999999</v>
      </c>
      <c r="L45">
        <v>7.9569405</v>
      </c>
      <c r="M45">
        <v>33.179560700000003</v>
      </c>
      <c r="O45">
        <v>42</v>
      </c>
      <c r="P45" t="s">
        <v>41</v>
      </c>
      <c r="Q45">
        <v>2.6916052000000001</v>
      </c>
      <c r="R45">
        <v>3.6033464789999998</v>
      </c>
      <c r="S45">
        <v>4.56552632</v>
      </c>
      <c r="T45">
        <v>4.7075952499999998</v>
      </c>
    </row>
    <row r="46" spans="1:20" x14ac:dyDescent="0.2">
      <c r="A46">
        <v>46</v>
      </c>
      <c r="B46" t="s">
        <v>44</v>
      </c>
      <c r="C46">
        <v>3.9693242199999998</v>
      </c>
      <c r="D46">
        <v>4.4493213999999996</v>
      </c>
      <c r="E46">
        <v>6.0224989290000002</v>
      </c>
      <c r="F46">
        <v>15.774480199999999</v>
      </c>
      <c r="H46">
        <v>43</v>
      </c>
      <c r="I46" t="s">
        <v>93</v>
      </c>
      <c r="J46">
        <v>5.1931977290000004</v>
      </c>
      <c r="K46">
        <v>6.3624242000000004</v>
      </c>
      <c r="L46">
        <v>7.8734487</v>
      </c>
      <c r="M46">
        <v>29.681373359999998</v>
      </c>
      <c r="O46">
        <v>43</v>
      </c>
      <c r="P46" t="s">
        <v>16</v>
      </c>
      <c r="Q46">
        <v>2.2025188899999999</v>
      </c>
      <c r="R46">
        <v>3.8484060069999999</v>
      </c>
      <c r="S46">
        <v>4.4714840799999998</v>
      </c>
      <c r="T46">
        <v>20.412901550000001</v>
      </c>
    </row>
    <row r="47" spans="1:20" x14ac:dyDescent="0.2">
      <c r="A47">
        <v>47</v>
      </c>
      <c r="B47" t="s">
        <v>39</v>
      </c>
      <c r="C47">
        <v>5.5316670099999996</v>
      </c>
      <c r="D47">
        <v>2.9974907000000002</v>
      </c>
      <c r="E47">
        <v>6.0034559280000002</v>
      </c>
      <c r="F47">
        <v>31.498434209999999</v>
      </c>
      <c r="H47">
        <v>44</v>
      </c>
      <c r="I47" t="s">
        <v>20</v>
      </c>
      <c r="J47">
        <v>2.3833432970000001</v>
      </c>
      <c r="K47">
        <v>8.0732762000000005</v>
      </c>
      <c r="L47">
        <v>7.7308136999999997</v>
      </c>
      <c r="M47">
        <v>19.476781129999999</v>
      </c>
      <c r="O47">
        <v>44</v>
      </c>
      <c r="P47" t="s">
        <v>94</v>
      </c>
      <c r="Q47">
        <v>2.49492622</v>
      </c>
      <c r="R47">
        <v>3.041863041</v>
      </c>
      <c r="S47">
        <v>4.1640592999999999</v>
      </c>
      <c r="T47">
        <v>20.716877799999999</v>
      </c>
    </row>
    <row r="48" spans="1:20" x14ac:dyDescent="0.2">
      <c r="A48">
        <v>48</v>
      </c>
      <c r="B48" t="s">
        <v>98</v>
      </c>
      <c r="C48">
        <v>1.27763779</v>
      </c>
      <c r="D48">
        <v>6.6128456</v>
      </c>
      <c r="E48">
        <v>5.9330364820000003</v>
      </c>
      <c r="F48">
        <v>13.73706644</v>
      </c>
      <c r="H48">
        <v>45</v>
      </c>
      <c r="I48" t="s">
        <v>32</v>
      </c>
      <c r="J48">
        <v>9.6239987100000004</v>
      </c>
      <c r="K48">
        <v>0.97584020000000005</v>
      </c>
      <c r="L48">
        <v>7.7199143000000001</v>
      </c>
      <c r="M48">
        <v>30.45963922</v>
      </c>
      <c r="O48">
        <v>45</v>
      </c>
      <c r="P48" t="s">
        <v>46</v>
      </c>
      <c r="Q48">
        <v>1.18003824</v>
      </c>
      <c r="R48">
        <v>5.1182656480000004</v>
      </c>
      <c r="S48">
        <v>4.1414375699999999</v>
      </c>
      <c r="T48">
        <v>27.523610340000001</v>
      </c>
    </row>
    <row r="49" spans="1:20" x14ac:dyDescent="0.2">
      <c r="A49">
        <v>49</v>
      </c>
      <c r="B49" t="s">
        <v>40</v>
      </c>
      <c r="C49">
        <v>4.2697605699999999</v>
      </c>
      <c r="D49">
        <v>3.6845903999999998</v>
      </c>
      <c r="E49">
        <v>5.7450209479999996</v>
      </c>
      <c r="F49">
        <v>30.027053670000001</v>
      </c>
      <c r="H49">
        <v>46</v>
      </c>
      <c r="I49" t="s">
        <v>26</v>
      </c>
      <c r="J49">
        <v>5.1944466030000003</v>
      </c>
      <c r="K49">
        <v>4.3748949000000001</v>
      </c>
      <c r="L49">
        <v>7.5038359000000003</v>
      </c>
      <c r="M49">
        <v>31.437986500000001</v>
      </c>
      <c r="O49">
        <v>46</v>
      </c>
      <c r="P49" t="s">
        <v>47</v>
      </c>
      <c r="Q49">
        <v>0.45193596000000003</v>
      </c>
      <c r="R49">
        <v>4.7772762340000003</v>
      </c>
      <c r="S49">
        <v>3.99274196</v>
      </c>
      <c r="T49">
        <v>15.91327261</v>
      </c>
    </row>
    <row r="50" spans="1:20" x14ac:dyDescent="0.2">
      <c r="A50">
        <v>50</v>
      </c>
      <c r="B50" t="s">
        <v>99</v>
      </c>
      <c r="C50">
        <v>-1.2838413799999999</v>
      </c>
      <c r="D50">
        <v>7.8589685999999999</v>
      </c>
      <c r="E50">
        <v>5.7387889840000001</v>
      </c>
      <c r="F50">
        <v>30.646608499999999</v>
      </c>
      <c r="H50">
        <v>47</v>
      </c>
      <c r="I50" t="s">
        <v>27</v>
      </c>
      <c r="J50">
        <v>3.5308682810000001</v>
      </c>
      <c r="K50">
        <v>6.7711258000000001</v>
      </c>
      <c r="L50">
        <v>7.3525010999999996</v>
      </c>
      <c r="M50">
        <v>11.226361989999999</v>
      </c>
      <c r="O50">
        <v>47</v>
      </c>
      <c r="P50" t="s">
        <v>130</v>
      </c>
      <c r="Q50">
        <v>3.4287661300000001</v>
      </c>
      <c r="R50">
        <v>1.520868023</v>
      </c>
      <c r="S50">
        <v>3.7999825500000002</v>
      </c>
      <c r="T50">
        <v>27.468213410000001</v>
      </c>
    </row>
    <row r="51" spans="1:20" x14ac:dyDescent="0.2">
      <c r="A51">
        <v>51</v>
      </c>
      <c r="B51" t="s">
        <v>31</v>
      </c>
      <c r="C51">
        <v>5.5055834399999997</v>
      </c>
      <c r="D51">
        <v>1.9831413</v>
      </c>
      <c r="E51">
        <v>5.7265481019999998</v>
      </c>
      <c r="F51">
        <v>32.258852570000002</v>
      </c>
      <c r="H51">
        <v>48</v>
      </c>
      <c r="I51" t="s">
        <v>115</v>
      </c>
      <c r="J51">
        <v>3.742277439</v>
      </c>
      <c r="K51">
        <v>5.5252733000000003</v>
      </c>
      <c r="L51">
        <v>6.9173897999999996</v>
      </c>
      <c r="M51">
        <v>23.298447299999999</v>
      </c>
      <c r="O51">
        <v>48</v>
      </c>
      <c r="P51" t="s">
        <v>8</v>
      </c>
      <c r="Q51">
        <v>4.9027813299999998</v>
      </c>
      <c r="R51">
        <v>-0.38319430900000001</v>
      </c>
      <c r="S51">
        <v>3.6718297999999998</v>
      </c>
      <c r="T51">
        <v>24.98047935</v>
      </c>
    </row>
    <row r="52" spans="1:20" x14ac:dyDescent="0.2">
      <c r="A52">
        <v>52</v>
      </c>
      <c r="B52" t="s">
        <v>23</v>
      </c>
      <c r="C52">
        <v>3.8997761899999999</v>
      </c>
      <c r="D52">
        <v>4.3891391999999998</v>
      </c>
      <c r="E52">
        <v>5.6734825689999999</v>
      </c>
      <c r="F52">
        <v>25.986275490000001</v>
      </c>
      <c r="H52">
        <v>49</v>
      </c>
      <c r="I52" t="s">
        <v>137</v>
      </c>
      <c r="J52">
        <v>2.7993500240000002</v>
      </c>
      <c r="K52">
        <v>6.3610968999999997</v>
      </c>
      <c r="L52">
        <v>6.7323396999999998</v>
      </c>
      <c r="M52">
        <v>24.847226849999998</v>
      </c>
      <c r="O52">
        <v>49</v>
      </c>
      <c r="P52" t="s">
        <v>127</v>
      </c>
      <c r="Q52">
        <v>4.9705624999999998</v>
      </c>
      <c r="R52">
        <v>-0.39344825</v>
      </c>
      <c r="S52">
        <v>3.5888496499999998</v>
      </c>
      <c r="T52">
        <v>28.93069333</v>
      </c>
    </row>
    <row r="53" spans="1:20" x14ac:dyDescent="0.2">
      <c r="A53">
        <v>53</v>
      </c>
      <c r="B53" t="s">
        <v>46</v>
      </c>
      <c r="C53">
        <v>2.7194306400000001</v>
      </c>
      <c r="D53">
        <v>5.1431031999999997</v>
      </c>
      <c r="E53">
        <v>5.5013134419999998</v>
      </c>
      <c r="F53">
        <v>32.540269479999999</v>
      </c>
      <c r="H53">
        <v>50</v>
      </c>
      <c r="I53" t="s">
        <v>118</v>
      </c>
      <c r="J53">
        <v>4.7351995709999999</v>
      </c>
      <c r="K53">
        <v>4.1616498000000002</v>
      </c>
      <c r="L53">
        <v>6.5746202</v>
      </c>
      <c r="M53">
        <v>14.981846969999999</v>
      </c>
      <c r="O53">
        <v>50</v>
      </c>
      <c r="P53" t="s">
        <v>97</v>
      </c>
      <c r="Q53">
        <v>3.7844168800000002</v>
      </c>
      <c r="R53">
        <v>1.278293522</v>
      </c>
      <c r="S53">
        <v>3.5514214200000001</v>
      </c>
      <c r="T53">
        <v>23.861791400000001</v>
      </c>
    </row>
    <row r="54" spans="1:20" x14ac:dyDescent="0.2">
      <c r="A54">
        <v>54</v>
      </c>
      <c r="B54" t="s">
        <v>53</v>
      </c>
      <c r="C54">
        <v>2.9150994799999999</v>
      </c>
      <c r="D54">
        <v>4.2900625000000003</v>
      </c>
      <c r="E54">
        <v>5.451194826</v>
      </c>
      <c r="F54">
        <v>11.577958539999999</v>
      </c>
      <c r="H54">
        <v>51</v>
      </c>
      <c r="I54" t="s">
        <v>48</v>
      </c>
      <c r="J54">
        <v>2.840761681</v>
      </c>
      <c r="K54">
        <v>6.0471041000000003</v>
      </c>
      <c r="L54">
        <v>6.4090641000000002</v>
      </c>
      <c r="M54">
        <v>11.69412176</v>
      </c>
      <c r="O54">
        <v>51</v>
      </c>
      <c r="P54" t="s">
        <v>110</v>
      </c>
      <c r="Q54">
        <v>2.0126613999999998</v>
      </c>
      <c r="R54">
        <v>2.651188576</v>
      </c>
      <c r="S54">
        <v>3.4108521700000001</v>
      </c>
      <c r="T54">
        <v>24.465016049999999</v>
      </c>
    </row>
    <row r="55" spans="1:20" x14ac:dyDescent="0.2">
      <c r="A55">
        <v>55</v>
      </c>
      <c r="B55" t="s">
        <v>37</v>
      </c>
      <c r="C55">
        <v>3.7770452099999998</v>
      </c>
      <c r="D55">
        <v>3.7492676999999999</v>
      </c>
      <c r="E55">
        <v>5.3315165379999998</v>
      </c>
      <c r="F55">
        <v>10.36000606</v>
      </c>
      <c r="H55">
        <v>52</v>
      </c>
      <c r="I55" t="s">
        <v>19</v>
      </c>
      <c r="J55">
        <v>2.5031140459999999</v>
      </c>
      <c r="K55">
        <v>6.1704929000000002</v>
      </c>
      <c r="L55">
        <v>6.3568899999999999</v>
      </c>
      <c r="M55">
        <v>14.106836149999999</v>
      </c>
      <c r="O55">
        <v>52</v>
      </c>
      <c r="P55" t="s">
        <v>54</v>
      </c>
      <c r="Q55">
        <v>4.0691600499999998</v>
      </c>
      <c r="R55">
        <v>0.27514766699999998</v>
      </c>
      <c r="S55">
        <v>3.3168254899999998</v>
      </c>
      <c r="T55">
        <v>8.9262496000000002</v>
      </c>
    </row>
    <row r="56" spans="1:20" x14ac:dyDescent="0.2">
      <c r="A56">
        <v>56</v>
      </c>
      <c r="B56" t="s">
        <v>100</v>
      </c>
      <c r="C56">
        <v>2.8817355400000002</v>
      </c>
      <c r="D56">
        <v>4.1548952000000003</v>
      </c>
      <c r="E56">
        <v>5.2893701540000002</v>
      </c>
      <c r="F56">
        <v>12.82352577</v>
      </c>
      <c r="H56">
        <v>53</v>
      </c>
      <c r="I56" t="s">
        <v>54</v>
      </c>
      <c r="J56">
        <v>3.7552008290000001</v>
      </c>
      <c r="K56">
        <v>5.8334244000000002</v>
      </c>
      <c r="L56">
        <v>6.3327584999999997</v>
      </c>
      <c r="M56">
        <v>6.9767212900000004</v>
      </c>
      <c r="O56">
        <v>53</v>
      </c>
      <c r="P56" t="s">
        <v>98</v>
      </c>
      <c r="Q56">
        <v>1.9854444899999999</v>
      </c>
      <c r="R56">
        <v>2.6540583629999999</v>
      </c>
      <c r="S56">
        <v>3.3119830399999999</v>
      </c>
      <c r="T56">
        <v>12.336953449999999</v>
      </c>
    </row>
    <row r="57" spans="1:20" x14ac:dyDescent="0.2">
      <c r="A57">
        <v>57</v>
      </c>
      <c r="B57" t="s">
        <v>15</v>
      </c>
      <c r="C57">
        <v>1.88051112</v>
      </c>
      <c r="D57">
        <v>4.5457201999999999</v>
      </c>
      <c r="E57">
        <v>5.2139375829999999</v>
      </c>
      <c r="F57">
        <v>21.66309893</v>
      </c>
      <c r="H57">
        <v>54</v>
      </c>
      <c r="I57" t="s">
        <v>38</v>
      </c>
      <c r="J57">
        <v>1.783741362</v>
      </c>
      <c r="K57">
        <v>5.8018327000000003</v>
      </c>
      <c r="L57">
        <v>6.2057536000000004</v>
      </c>
      <c r="M57">
        <v>7.6374289099999997</v>
      </c>
      <c r="O57">
        <v>54</v>
      </c>
      <c r="P57" t="s">
        <v>131</v>
      </c>
      <c r="Q57">
        <v>1.94737808</v>
      </c>
      <c r="R57">
        <v>2.3137626149999999</v>
      </c>
      <c r="S57">
        <v>3.2780527699999999</v>
      </c>
      <c r="T57">
        <v>25.61783307</v>
      </c>
    </row>
    <row r="58" spans="1:20" x14ac:dyDescent="0.2">
      <c r="A58">
        <v>58</v>
      </c>
      <c r="B58" t="s">
        <v>101</v>
      </c>
      <c r="C58">
        <v>1.6249172199999999</v>
      </c>
      <c r="D58">
        <v>4.9882014000000003</v>
      </c>
      <c r="E58">
        <v>5.1051924279999996</v>
      </c>
      <c r="F58">
        <v>30.3439254</v>
      </c>
      <c r="H58">
        <v>55</v>
      </c>
      <c r="I58" t="s">
        <v>45</v>
      </c>
      <c r="J58">
        <v>1.8832944110000001</v>
      </c>
      <c r="K58">
        <v>5.6230286999999999</v>
      </c>
      <c r="L58">
        <v>6.0577185</v>
      </c>
      <c r="M58">
        <v>7.3628676899999999</v>
      </c>
      <c r="O58">
        <v>55</v>
      </c>
      <c r="P58" t="s">
        <v>104</v>
      </c>
      <c r="Q58">
        <v>3.40832888</v>
      </c>
      <c r="R58">
        <v>1.1944072320000001</v>
      </c>
      <c r="S58">
        <v>3.23042943</v>
      </c>
      <c r="T58">
        <v>22.532342190000001</v>
      </c>
    </row>
    <row r="59" spans="1:20" x14ac:dyDescent="0.2">
      <c r="A59">
        <v>59</v>
      </c>
      <c r="B59" t="s">
        <v>32</v>
      </c>
      <c r="C59">
        <v>2.2492719399999999</v>
      </c>
      <c r="D59">
        <v>4.4698386000000001</v>
      </c>
      <c r="E59">
        <v>5.029375623</v>
      </c>
      <c r="F59">
        <v>27.531790470000001</v>
      </c>
      <c r="H59">
        <v>56</v>
      </c>
      <c r="I59" t="s">
        <v>22</v>
      </c>
      <c r="J59">
        <v>4.316689652</v>
      </c>
      <c r="K59">
        <v>3.8726446999999999</v>
      </c>
      <c r="L59">
        <v>6.0550407999999996</v>
      </c>
      <c r="M59">
        <v>15.27406276</v>
      </c>
      <c r="O59">
        <v>56</v>
      </c>
      <c r="P59" t="s">
        <v>45</v>
      </c>
      <c r="Q59">
        <v>4.5708108999999997</v>
      </c>
      <c r="R59">
        <v>-0.43844825100000001</v>
      </c>
      <c r="S59">
        <v>3.15975523</v>
      </c>
      <c r="T59">
        <v>5.6906748800000004</v>
      </c>
    </row>
    <row r="60" spans="1:20" x14ac:dyDescent="0.2">
      <c r="A60">
        <v>60</v>
      </c>
      <c r="B60" t="s">
        <v>29</v>
      </c>
      <c r="C60">
        <v>5.2785185700000001</v>
      </c>
      <c r="D60">
        <v>1.7070254</v>
      </c>
      <c r="E60">
        <v>4.9479688260000003</v>
      </c>
      <c r="F60">
        <v>33.576675209999998</v>
      </c>
      <c r="H60">
        <v>57</v>
      </c>
      <c r="I60" t="s">
        <v>129</v>
      </c>
      <c r="J60">
        <v>3.7591093199999999</v>
      </c>
      <c r="K60">
        <v>4.5511074000000002</v>
      </c>
      <c r="L60">
        <v>5.9955334000000002</v>
      </c>
      <c r="M60">
        <v>10.047685619999999</v>
      </c>
      <c r="O60">
        <v>57</v>
      </c>
      <c r="P60" t="s">
        <v>37</v>
      </c>
      <c r="Q60">
        <v>2.4588852499999998</v>
      </c>
      <c r="R60">
        <v>1.630349314</v>
      </c>
      <c r="S60">
        <v>3.1412818900000001</v>
      </c>
      <c r="T60">
        <v>16.00833415</v>
      </c>
    </row>
    <row r="61" spans="1:20" x14ac:dyDescent="0.2">
      <c r="A61">
        <v>61</v>
      </c>
      <c r="B61" t="s">
        <v>45</v>
      </c>
      <c r="C61">
        <v>2.1698652900000002</v>
      </c>
      <c r="D61">
        <v>4.3814071999999999</v>
      </c>
      <c r="E61">
        <v>4.9277782390000002</v>
      </c>
      <c r="F61">
        <v>6.8121079399999998</v>
      </c>
      <c r="H61">
        <v>58</v>
      </c>
      <c r="I61" t="s">
        <v>102</v>
      </c>
      <c r="J61">
        <v>1.201559831</v>
      </c>
      <c r="K61">
        <v>6.4369595000000004</v>
      </c>
      <c r="L61">
        <v>5.9384223</v>
      </c>
      <c r="M61">
        <v>14.23659338</v>
      </c>
      <c r="O61">
        <v>58</v>
      </c>
      <c r="P61" t="s">
        <v>148</v>
      </c>
      <c r="Q61">
        <v>2.79051011</v>
      </c>
      <c r="R61">
        <v>1.26337481</v>
      </c>
      <c r="S61">
        <v>3.0612359900000001</v>
      </c>
      <c r="T61">
        <v>25.675226259999999</v>
      </c>
    </row>
    <row r="62" spans="1:20" x14ac:dyDescent="0.2">
      <c r="A62">
        <v>62</v>
      </c>
      <c r="B62" t="s">
        <v>34</v>
      </c>
      <c r="C62">
        <v>3.3850656699999999</v>
      </c>
      <c r="D62">
        <v>3.2722337000000001</v>
      </c>
      <c r="E62">
        <v>4.746478787</v>
      </c>
      <c r="F62">
        <v>21.313885209999999</v>
      </c>
      <c r="H62">
        <v>59</v>
      </c>
      <c r="I62" t="s">
        <v>42</v>
      </c>
      <c r="J62">
        <v>-0.38152723300000002</v>
      </c>
      <c r="K62">
        <v>7.7278041999999996</v>
      </c>
      <c r="L62">
        <v>5.7928344999999997</v>
      </c>
      <c r="M62">
        <v>8.0811658000000008</v>
      </c>
      <c r="O62">
        <v>59</v>
      </c>
      <c r="P62" t="s">
        <v>27</v>
      </c>
      <c r="Q62">
        <v>0.53220829000000003</v>
      </c>
      <c r="R62">
        <v>3.2456387950000001</v>
      </c>
      <c r="S62">
        <v>2.8998359900000001</v>
      </c>
      <c r="T62">
        <v>15.642759590000001</v>
      </c>
    </row>
    <row r="63" spans="1:20" x14ac:dyDescent="0.2">
      <c r="A63">
        <v>63</v>
      </c>
      <c r="B63" t="s">
        <v>102</v>
      </c>
      <c r="C63">
        <v>2.2230181099999999</v>
      </c>
      <c r="D63">
        <v>3.5362931</v>
      </c>
      <c r="E63">
        <v>4.6936087899999999</v>
      </c>
      <c r="F63">
        <v>20.63306893</v>
      </c>
      <c r="H63">
        <v>60</v>
      </c>
      <c r="I63" t="s">
        <v>98</v>
      </c>
      <c r="J63">
        <v>1.6913812459999999</v>
      </c>
      <c r="K63">
        <v>6.2195207000000003</v>
      </c>
      <c r="L63">
        <v>5.6309487999999996</v>
      </c>
      <c r="M63">
        <v>11.98344548</v>
      </c>
      <c r="O63">
        <v>60</v>
      </c>
      <c r="P63" t="s">
        <v>111</v>
      </c>
      <c r="Q63">
        <v>1.2162120300000001</v>
      </c>
      <c r="R63">
        <v>2.420147289</v>
      </c>
      <c r="S63">
        <v>2.8717692399999999</v>
      </c>
      <c r="T63">
        <v>23.904261649999999</v>
      </c>
    </row>
    <row r="64" spans="1:20" x14ac:dyDescent="0.2">
      <c r="A64">
        <v>64</v>
      </c>
      <c r="B64" t="s">
        <v>54</v>
      </c>
      <c r="C64">
        <v>4.57156305</v>
      </c>
      <c r="D64">
        <v>2.1412572999999999</v>
      </c>
      <c r="E64">
        <v>4.6371309180000004</v>
      </c>
      <c r="F64">
        <v>8.8142489699999995</v>
      </c>
      <c r="H64">
        <v>61</v>
      </c>
      <c r="I64" t="s">
        <v>50</v>
      </c>
      <c r="J64">
        <v>3.4479226590000001</v>
      </c>
      <c r="K64">
        <v>4.8940343999999998</v>
      </c>
      <c r="L64">
        <v>5.6142155000000002</v>
      </c>
      <c r="M64">
        <v>6.9176015</v>
      </c>
      <c r="O64">
        <v>61</v>
      </c>
      <c r="P64" t="s">
        <v>42</v>
      </c>
      <c r="Q64">
        <v>1.1169660100000001</v>
      </c>
      <c r="R64">
        <v>3.047957469</v>
      </c>
      <c r="S64">
        <v>2.7882676399999999</v>
      </c>
      <c r="T64">
        <v>6.4850726600000002</v>
      </c>
    </row>
    <row r="65" spans="1:20" x14ac:dyDescent="0.2">
      <c r="A65">
        <v>65</v>
      </c>
      <c r="B65" t="s">
        <v>48</v>
      </c>
      <c r="C65">
        <v>3.5805780999999999</v>
      </c>
      <c r="D65">
        <v>2.4680480999999999</v>
      </c>
      <c r="E65">
        <v>4.6214392679999996</v>
      </c>
      <c r="F65">
        <v>13.9160241</v>
      </c>
      <c r="H65">
        <v>62</v>
      </c>
      <c r="I65" t="s">
        <v>136</v>
      </c>
      <c r="J65">
        <v>4.9413924319999998</v>
      </c>
      <c r="K65">
        <v>2.3827606000000001</v>
      </c>
      <c r="L65">
        <v>5.4277894</v>
      </c>
      <c r="M65">
        <v>19.742177810000001</v>
      </c>
      <c r="O65">
        <v>62</v>
      </c>
      <c r="P65" t="s">
        <v>50</v>
      </c>
      <c r="Q65">
        <v>4.0193981499999998</v>
      </c>
      <c r="R65">
        <v>-1.4183087649999999</v>
      </c>
      <c r="S65">
        <v>2.7066796599999998</v>
      </c>
      <c r="T65">
        <v>6.2361199999999997</v>
      </c>
    </row>
    <row r="66" spans="1:20" x14ac:dyDescent="0.2">
      <c r="A66">
        <v>66</v>
      </c>
      <c r="B66" t="s">
        <v>103</v>
      </c>
      <c r="C66">
        <v>2.2794273199999999</v>
      </c>
      <c r="D66">
        <v>4.4055460000000002</v>
      </c>
      <c r="E66">
        <v>4.5797592060000003</v>
      </c>
      <c r="F66">
        <v>31.76069017</v>
      </c>
      <c r="H66">
        <v>63</v>
      </c>
      <c r="I66" t="s">
        <v>52</v>
      </c>
      <c r="J66">
        <v>6.2576874760000001</v>
      </c>
      <c r="K66">
        <v>1.2457860999999999</v>
      </c>
      <c r="L66">
        <v>5.4182116999999996</v>
      </c>
      <c r="M66">
        <v>17.735209390000001</v>
      </c>
      <c r="O66">
        <v>63</v>
      </c>
      <c r="P66" t="s">
        <v>109</v>
      </c>
      <c r="Q66">
        <v>1.6561096799999999</v>
      </c>
      <c r="R66">
        <v>2.1427492899999998</v>
      </c>
      <c r="S66">
        <v>2.7040880899999999</v>
      </c>
      <c r="T66">
        <v>25.756359830000001</v>
      </c>
    </row>
    <row r="67" spans="1:20" x14ac:dyDescent="0.2">
      <c r="A67">
        <v>67</v>
      </c>
      <c r="B67" t="s">
        <v>104</v>
      </c>
      <c r="C67">
        <v>2.2105297099999999</v>
      </c>
      <c r="D67">
        <v>3.6119313000000002</v>
      </c>
      <c r="E67">
        <v>4.3542222060000002</v>
      </c>
      <c r="F67">
        <v>31.328813050000001</v>
      </c>
      <c r="H67">
        <v>64</v>
      </c>
      <c r="I67" t="s">
        <v>92</v>
      </c>
      <c r="J67">
        <v>4.2979263269999999</v>
      </c>
      <c r="K67">
        <v>2.680094</v>
      </c>
      <c r="L67">
        <v>5.1749711999999999</v>
      </c>
      <c r="M67">
        <v>17.717566250000001</v>
      </c>
      <c r="O67">
        <v>64</v>
      </c>
      <c r="P67" t="s">
        <v>40</v>
      </c>
      <c r="Q67">
        <v>3.6873145599999999</v>
      </c>
      <c r="R67">
        <v>5.7738232E-2</v>
      </c>
      <c r="S67">
        <v>2.6645321800000001</v>
      </c>
      <c r="T67">
        <v>24.30426203</v>
      </c>
    </row>
    <row r="68" spans="1:20" x14ac:dyDescent="0.2">
      <c r="A68">
        <v>68</v>
      </c>
      <c r="B68" t="s">
        <v>51</v>
      </c>
      <c r="C68">
        <v>4.5353606199999996</v>
      </c>
      <c r="D68">
        <v>1.4925744000000001</v>
      </c>
      <c r="E68">
        <v>4.2668641630000002</v>
      </c>
      <c r="F68">
        <v>5.8238559499999996</v>
      </c>
      <c r="H68">
        <v>65</v>
      </c>
      <c r="I68" t="s">
        <v>57</v>
      </c>
      <c r="J68">
        <v>2.4022925210000001</v>
      </c>
      <c r="K68">
        <v>5.1916194999999998</v>
      </c>
      <c r="L68">
        <v>4.9577378999999997</v>
      </c>
      <c r="M68">
        <v>0.71674612999999998</v>
      </c>
      <c r="O68">
        <v>65</v>
      </c>
      <c r="P68" t="s">
        <v>139</v>
      </c>
      <c r="Q68">
        <v>2.43076238</v>
      </c>
      <c r="R68">
        <v>1.027518012</v>
      </c>
      <c r="S68">
        <v>2.60224916</v>
      </c>
      <c r="T68">
        <v>23.14826536</v>
      </c>
    </row>
    <row r="69" spans="1:20" x14ac:dyDescent="0.2">
      <c r="A69">
        <v>69</v>
      </c>
      <c r="B69" t="s">
        <v>105</v>
      </c>
      <c r="C69">
        <v>3.5337874500000002</v>
      </c>
      <c r="D69">
        <v>2.7345421000000001</v>
      </c>
      <c r="E69">
        <v>4.2651853449999999</v>
      </c>
      <c r="F69">
        <v>30.00986133</v>
      </c>
      <c r="H69">
        <v>66</v>
      </c>
      <c r="I69" t="s">
        <v>41</v>
      </c>
      <c r="J69">
        <v>2.4467907979999999</v>
      </c>
      <c r="K69">
        <v>4.5450702999999999</v>
      </c>
      <c r="L69">
        <v>4.9271798000000002</v>
      </c>
      <c r="M69">
        <v>5.0836137800000003</v>
      </c>
      <c r="O69">
        <v>66</v>
      </c>
      <c r="P69" t="s">
        <v>114</v>
      </c>
      <c r="Q69">
        <v>3.8581122799999998</v>
      </c>
      <c r="R69">
        <v>-0.22316740600000001</v>
      </c>
      <c r="S69">
        <v>2.4739499299999999</v>
      </c>
      <c r="T69">
        <v>25.538931770000001</v>
      </c>
    </row>
    <row r="70" spans="1:20" x14ac:dyDescent="0.2">
      <c r="A70">
        <v>70</v>
      </c>
      <c r="B70" t="s">
        <v>106</v>
      </c>
      <c r="C70">
        <v>1.7491290399999999</v>
      </c>
      <c r="D70">
        <v>4.1858219999999999</v>
      </c>
      <c r="E70">
        <v>4.2633230979999999</v>
      </c>
      <c r="F70">
        <v>19.451668869999999</v>
      </c>
      <c r="H70">
        <v>67</v>
      </c>
      <c r="I70" t="s">
        <v>34</v>
      </c>
      <c r="J70">
        <v>4.9127685029999997</v>
      </c>
      <c r="K70">
        <v>2.3124349999999998</v>
      </c>
      <c r="L70">
        <v>4.7637369999999999</v>
      </c>
      <c r="M70">
        <v>17.153700430000001</v>
      </c>
      <c r="O70">
        <v>67</v>
      </c>
      <c r="P70" t="s">
        <v>115</v>
      </c>
      <c r="Q70">
        <v>2.4113251600000001</v>
      </c>
      <c r="R70">
        <v>0.81814786699999997</v>
      </c>
      <c r="S70">
        <v>2.3347190599999998</v>
      </c>
      <c r="T70">
        <v>22.668379059999999</v>
      </c>
    </row>
    <row r="71" spans="1:20" x14ac:dyDescent="0.2">
      <c r="A71">
        <v>71</v>
      </c>
      <c r="B71" t="s">
        <v>107</v>
      </c>
      <c r="C71">
        <v>0.76796262000000004</v>
      </c>
      <c r="D71">
        <v>4.8844520999999999</v>
      </c>
      <c r="E71">
        <v>4.2507588639999998</v>
      </c>
      <c r="F71">
        <v>12.058563080000001</v>
      </c>
      <c r="H71">
        <v>68</v>
      </c>
      <c r="I71" t="s">
        <v>128</v>
      </c>
      <c r="J71">
        <v>1.095969556</v>
      </c>
      <c r="K71">
        <v>5.1136182000000003</v>
      </c>
      <c r="L71">
        <v>4.7577224999999999</v>
      </c>
      <c r="M71">
        <v>8.52737093</v>
      </c>
      <c r="O71">
        <v>68</v>
      </c>
      <c r="P71" t="s">
        <v>112</v>
      </c>
      <c r="Q71">
        <v>3.1309368000000002</v>
      </c>
      <c r="R71">
        <v>-0.46682556400000003</v>
      </c>
      <c r="S71">
        <v>2.2980271600000002</v>
      </c>
      <c r="T71">
        <v>27.8640255</v>
      </c>
    </row>
    <row r="72" spans="1:20" x14ac:dyDescent="0.2">
      <c r="A72">
        <v>72</v>
      </c>
      <c r="B72" t="s">
        <v>52</v>
      </c>
      <c r="C72">
        <v>3.1536511800000002</v>
      </c>
      <c r="D72">
        <v>2.9526083000000001</v>
      </c>
      <c r="E72">
        <v>4.2420620250000001</v>
      </c>
      <c r="F72">
        <v>21.889456679999999</v>
      </c>
      <c r="H72">
        <v>69</v>
      </c>
      <c r="I72" t="s">
        <v>95</v>
      </c>
      <c r="J72">
        <v>0.49362555800000002</v>
      </c>
      <c r="K72">
        <v>5.5686762999999999</v>
      </c>
      <c r="L72">
        <v>4.6730309999999999</v>
      </c>
      <c r="M72">
        <v>27.21279393</v>
      </c>
      <c r="O72">
        <v>69</v>
      </c>
      <c r="P72" t="s">
        <v>95</v>
      </c>
      <c r="Q72">
        <v>0.23123289</v>
      </c>
      <c r="R72">
        <v>2.9069982840000002</v>
      </c>
      <c r="S72">
        <v>2.2355233999999999</v>
      </c>
      <c r="T72">
        <v>26.421987260000002</v>
      </c>
    </row>
    <row r="73" spans="1:20" x14ac:dyDescent="0.2">
      <c r="A73">
        <v>73</v>
      </c>
      <c r="B73" t="s">
        <v>108</v>
      </c>
      <c r="C73">
        <v>1.0931988699999999</v>
      </c>
      <c r="D73">
        <v>4.7161888000000003</v>
      </c>
      <c r="E73">
        <v>4.2407807069999999</v>
      </c>
      <c r="F73">
        <v>30.861069830000002</v>
      </c>
      <c r="H73">
        <v>70</v>
      </c>
      <c r="I73" t="s">
        <v>131</v>
      </c>
      <c r="J73">
        <v>4.2771093249999996</v>
      </c>
      <c r="K73">
        <v>1.8842243000000001</v>
      </c>
      <c r="L73">
        <v>4.5371968999999996</v>
      </c>
      <c r="M73">
        <v>28.889670979999998</v>
      </c>
      <c r="O73">
        <v>70</v>
      </c>
      <c r="P73" t="s">
        <v>53</v>
      </c>
      <c r="Q73">
        <v>2.9046518699999999</v>
      </c>
      <c r="R73">
        <v>-0.153504538</v>
      </c>
      <c r="S73">
        <v>2.2254438900000002</v>
      </c>
      <c r="T73">
        <v>9.4914477099999992</v>
      </c>
    </row>
    <row r="74" spans="1:20" x14ac:dyDescent="0.2">
      <c r="A74">
        <v>74</v>
      </c>
      <c r="B74" t="s">
        <v>109</v>
      </c>
      <c r="C74">
        <v>2.2340136199999998</v>
      </c>
      <c r="D74">
        <v>3.2046114999999999</v>
      </c>
      <c r="E74">
        <v>4.1615050550000001</v>
      </c>
      <c r="F74">
        <v>30.293026260000001</v>
      </c>
      <c r="H74">
        <v>71</v>
      </c>
      <c r="I74" t="s">
        <v>125</v>
      </c>
      <c r="J74">
        <v>0.541101112</v>
      </c>
      <c r="K74">
        <v>5.1965195</v>
      </c>
      <c r="L74">
        <v>4.5352344999999996</v>
      </c>
      <c r="M74">
        <v>24.46929519</v>
      </c>
      <c r="O74">
        <v>71</v>
      </c>
      <c r="P74" t="s">
        <v>101</v>
      </c>
      <c r="Q74">
        <v>2.9338261299999999</v>
      </c>
      <c r="R74">
        <v>-3.475854E-3</v>
      </c>
      <c r="S74">
        <v>2.2251257</v>
      </c>
      <c r="T74">
        <v>24.273132069999999</v>
      </c>
    </row>
    <row r="75" spans="1:20" x14ac:dyDescent="0.2">
      <c r="A75">
        <v>75</v>
      </c>
      <c r="B75" t="s">
        <v>110</v>
      </c>
      <c r="C75">
        <v>1.20943603</v>
      </c>
      <c r="D75">
        <v>4.1156033000000001</v>
      </c>
      <c r="E75">
        <v>4.1116654989999999</v>
      </c>
      <c r="F75">
        <v>28.561085460000001</v>
      </c>
      <c r="H75">
        <v>72</v>
      </c>
      <c r="I75" t="s">
        <v>106</v>
      </c>
      <c r="J75">
        <v>1.8725556400000001</v>
      </c>
      <c r="K75">
        <v>4.0009769000000004</v>
      </c>
      <c r="L75">
        <v>4.3254707999999997</v>
      </c>
      <c r="M75">
        <v>15.711246579999999</v>
      </c>
      <c r="O75">
        <v>72</v>
      </c>
      <c r="P75" t="s">
        <v>134</v>
      </c>
      <c r="Q75">
        <v>1.0319627</v>
      </c>
      <c r="R75">
        <v>1.790788322</v>
      </c>
      <c r="S75">
        <v>1.9824084</v>
      </c>
      <c r="T75">
        <v>25.107831879999999</v>
      </c>
    </row>
    <row r="76" spans="1:20" x14ac:dyDescent="0.2">
      <c r="A76">
        <v>76</v>
      </c>
      <c r="B76" t="s">
        <v>111</v>
      </c>
      <c r="C76">
        <v>2.6203835299999998</v>
      </c>
      <c r="D76">
        <v>2.7324625999999999</v>
      </c>
      <c r="E76">
        <v>4.0304281719999997</v>
      </c>
      <c r="F76">
        <v>28.805053109999999</v>
      </c>
      <c r="H76">
        <v>73</v>
      </c>
      <c r="I76" t="s">
        <v>99</v>
      </c>
      <c r="J76">
        <v>1.3602807100000001</v>
      </c>
      <c r="K76">
        <v>4.4432624000000001</v>
      </c>
      <c r="L76">
        <v>4.2008976999999996</v>
      </c>
      <c r="M76">
        <v>27.493627650000001</v>
      </c>
      <c r="O76">
        <v>73</v>
      </c>
      <c r="P76" t="s">
        <v>151</v>
      </c>
      <c r="Q76">
        <v>0.65467125000000004</v>
      </c>
      <c r="R76">
        <v>1.8161444550000001</v>
      </c>
      <c r="S76">
        <v>1.8515715800000001</v>
      </c>
      <c r="T76">
        <v>9.1323150999999996</v>
      </c>
    </row>
    <row r="77" spans="1:20" x14ac:dyDescent="0.2">
      <c r="A77">
        <v>77</v>
      </c>
      <c r="B77" t="s">
        <v>112</v>
      </c>
      <c r="C77">
        <v>4.6635469900000004</v>
      </c>
      <c r="D77">
        <v>0.79359400000000002</v>
      </c>
      <c r="E77">
        <v>4.0024399219999998</v>
      </c>
      <c r="F77">
        <v>32.085355010000001</v>
      </c>
      <c r="H77">
        <v>74</v>
      </c>
      <c r="I77" t="s">
        <v>126</v>
      </c>
      <c r="J77">
        <v>2.471662158</v>
      </c>
      <c r="K77">
        <v>3.0939589999999999</v>
      </c>
      <c r="L77">
        <v>4.1858276999999999</v>
      </c>
      <c r="M77">
        <v>28.626263170000001</v>
      </c>
      <c r="O77">
        <v>74</v>
      </c>
      <c r="P77" t="s">
        <v>20</v>
      </c>
      <c r="Q77">
        <v>1.5090874700000001</v>
      </c>
      <c r="R77">
        <v>1.0233119429999999</v>
      </c>
      <c r="S77">
        <v>1.8498291200000001</v>
      </c>
      <c r="T77">
        <v>17.229299829999999</v>
      </c>
    </row>
    <row r="78" spans="1:20" x14ac:dyDescent="0.2">
      <c r="A78">
        <v>78</v>
      </c>
      <c r="B78" t="s">
        <v>113</v>
      </c>
      <c r="C78">
        <v>4.0132103299999997</v>
      </c>
      <c r="D78">
        <v>1.6704418999999999</v>
      </c>
      <c r="E78">
        <v>3.9454021460000002</v>
      </c>
      <c r="F78">
        <v>31.086699889999998</v>
      </c>
      <c r="H78">
        <v>75</v>
      </c>
      <c r="I78" t="s">
        <v>105</v>
      </c>
      <c r="J78">
        <v>2.430615602</v>
      </c>
      <c r="K78">
        <v>3.3657571000000002</v>
      </c>
      <c r="L78">
        <v>4.1318602999999996</v>
      </c>
      <c r="M78">
        <v>24.879019150000001</v>
      </c>
      <c r="O78">
        <v>75</v>
      </c>
      <c r="P78" t="s">
        <v>153</v>
      </c>
      <c r="Q78">
        <v>2.4507909300000001</v>
      </c>
      <c r="R78">
        <v>0.103434072</v>
      </c>
      <c r="S78">
        <v>1.75358568</v>
      </c>
      <c r="T78">
        <v>5.54150147</v>
      </c>
    </row>
    <row r="79" spans="1:20" x14ac:dyDescent="0.2">
      <c r="A79">
        <v>79</v>
      </c>
      <c r="B79" t="s">
        <v>114</v>
      </c>
      <c r="C79">
        <v>2.4373812899999998</v>
      </c>
      <c r="D79">
        <v>3.1664908999999999</v>
      </c>
      <c r="E79">
        <v>3.8941650050000001</v>
      </c>
      <c r="F79">
        <v>26.533426009999999</v>
      </c>
      <c r="H79">
        <v>76</v>
      </c>
      <c r="I79" t="s">
        <v>117</v>
      </c>
      <c r="J79">
        <v>2.7585051169999999</v>
      </c>
      <c r="K79">
        <v>2.7472107000000001</v>
      </c>
      <c r="L79">
        <v>4.0280969999999998</v>
      </c>
      <c r="M79">
        <v>6.9646186500000002</v>
      </c>
      <c r="O79">
        <v>76</v>
      </c>
      <c r="P79" t="s">
        <v>106</v>
      </c>
      <c r="Q79">
        <v>-0.95188035999999998</v>
      </c>
      <c r="R79">
        <v>3.0460255300000001</v>
      </c>
      <c r="S79">
        <v>1.7178564999999999</v>
      </c>
      <c r="T79">
        <v>18.337452989999999</v>
      </c>
    </row>
    <row r="80" spans="1:20" x14ac:dyDescent="0.2">
      <c r="A80">
        <v>80</v>
      </c>
      <c r="B80" t="s">
        <v>115</v>
      </c>
      <c r="C80">
        <v>0.53544007999999998</v>
      </c>
      <c r="D80">
        <v>4.6094814</v>
      </c>
      <c r="E80">
        <v>3.7811085179999999</v>
      </c>
      <c r="F80">
        <v>26.208140019999998</v>
      </c>
      <c r="H80">
        <v>77</v>
      </c>
      <c r="I80" t="s">
        <v>152</v>
      </c>
      <c r="J80">
        <v>2.3522653569999998</v>
      </c>
      <c r="K80">
        <v>3.7465543000000001</v>
      </c>
      <c r="L80">
        <v>3.9877691</v>
      </c>
      <c r="M80">
        <v>0.65326609999999996</v>
      </c>
      <c r="O80">
        <v>77</v>
      </c>
      <c r="P80" t="s">
        <v>133</v>
      </c>
      <c r="Q80">
        <v>-6.9203669999999995E-2</v>
      </c>
      <c r="R80">
        <v>2.5539522529999998</v>
      </c>
      <c r="S80">
        <v>1.7112052799999999</v>
      </c>
      <c r="T80">
        <v>26.564506139999999</v>
      </c>
    </row>
    <row r="81" spans="1:20" x14ac:dyDescent="0.2">
      <c r="A81">
        <v>81</v>
      </c>
      <c r="B81" t="s">
        <v>116</v>
      </c>
      <c r="C81">
        <v>4.0417444500000004</v>
      </c>
      <c r="D81">
        <v>1.4523276000000001</v>
      </c>
      <c r="E81">
        <v>3.7383599680000001</v>
      </c>
      <c r="F81">
        <v>30.459207500000002</v>
      </c>
      <c r="H81">
        <v>78</v>
      </c>
      <c r="I81" t="s">
        <v>139</v>
      </c>
      <c r="J81">
        <v>2.3205380450000002</v>
      </c>
      <c r="K81">
        <v>3.0114877</v>
      </c>
      <c r="L81">
        <v>3.9684108</v>
      </c>
      <c r="M81">
        <v>27.555084300000001</v>
      </c>
      <c r="O81">
        <v>78</v>
      </c>
      <c r="P81" t="s">
        <v>120</v>
      </c>
      <c r="Q81">
        <v>1.10383038</v>
      </c>
      <c r="R81">
        <v>1.2566181839999999</v>
      </c>
      <c r="S81">
        <v>1.6772966199999999</v>
      </c>
      <c r="T81">
        <v>21.529410890000001</v>
      </c>
    </row>
    <row r="82" spans="1:20" x14ac:dyDescent="0.2">
      <c r="A82">
        <v>82</v>
      </c>
      <c r="B82" t="s">
        <v>117</v>
      </c>
      <c r="C82">
        <v>1.26365763</v>
      </c>
      <c r="D82">
        <v>4.0263841999999999</v>
      </c>
      <c r="E82">
        <v>3.7202943500000001</v>
      </c>
      <c r="F82">
        <v>8.7027590900000007</v>
      </c>
      <c r="H82">
        <v>79</v>
      </c>
      <c r="I82" t="s">
        <v>134</v>
      </c>
      <c r="J82">
        <v>2.9529615950000001</v>
      </c>
      <c r="K82">
        <v>2.4928088000000002</v>
      </c>
      <c r="L82">
        <v>3.9409955999999999</v>
      </c>
      <c r="M82">
        <v>27.542258369999999</v>
      </c>
      <c r="O82">
        <v>79</v>
      </c>
      <c r="P82" t="s">
        <v>121</v>
      </c>
      <c r="Q82">
        <v>2.5160246800000001</v>
      </c>
      <c r="R82">
        <v>-8.2067801999999995E-2</v>
      </c>
      <c r="S82">
        <v>1.6755418900000001</v>
      </c>
      <c r="T82">
        <v>26.099289469999999</v>
      </c>
    </row>
    <row r="83" spans="1:20" x14ac:dyDescent="0.2">
      <c r="A83">
        <v>83</v>
      </c>
      <c r="B83" t="s">
        <v>118</v>
      </c>
      <c r="C83">
        <v>2.3426179299999998</v>
      </c>
      <c r="D83">
        <v>2.8185756999999998</v>
      </c>
      <c r="E83">
        <v>3.7073926780000002</v>
      </c>
      <c r="F83">
        <v>16.28701307</v>
      </c>
      <c r="H83">
        <v>80</v>
      </c>
      <c r="I83" t="s">
        <v>101</v>
      </c>
      <c r="J83">
        <v>1.027707455</v>
      </c>
      <c r="K83">
        <v>4.1162817</v>
      </c>
      <c r="L83">
        <v>3.9002330000000001</v>
      </c>
      <c r="M83">
        <v>26.355081070000001</v>
      </c>
      <c r="O83">
        <v>80</v>
      </c>
      <c r="P83" t="s">
        <v>52</v>
      </c>
      <c r="Q83">
        <v>2.3671292199999998</v>
      </c>
      <c r="R83">
        <v>0.13366378600000001</v>
      </c>
      <c r="S83">
        <v>1.6724817400000001</v>
      </c>
      <c r="T83">
        <v>17.954581659999999</v>
      </c>
    </row>
    <row r="84" spans="1:20" x14ac:dyDescent="0.2">
      <c r="A84">
        <v>84</v>
      </c>
      <c r="B84" t="s">
        <v>119</v>
      </c>
      <c r="C84">
        <v>2.5810744799999998</v>
      </c>
      <c r="D84">
        <v>2.4493019999999999</v>
      </c>
      <c r="E84">
        <v>3.676565552</v>
      </c>
      <c r="F84">
        <v>27.27080394</v>
      </c>
      <c r="H84">
        <v>81</v>
      </c>
      <c r="I84" t="s">
        <v>56</v>
      </c>
      <c r="J84">
        <v>3.3379602259999999</v>
      </c>
      <c r="K84">
        <v>1.5327383000000001</v>
      </c>
      <c r="L84">
        <v>3.7012349000000002</v>
      </c>
      <c r="M84">
        <v>5.4767773799999997</v>
      </c>
      <c r="O84">
        <v>81</v>
      </c>
      <c r="P84" t="s">
        <v>146</v>
      </c>
      <c r="Q84">
        <v>2.8205176500000002</v>
      </c>
      <c r="R84">
        <v>-0.821383741</v>
      </c>
      <c r="S84">
        <v>1.61686135</v>
      </c>
      <c r="T84">
        <v>25.69500627</v>
      </c>
    </row>
    <row r="85" spans="1:20" x14ac:dyDescent="0.2">
      <c r="A85">
        <v>85</v>
      </c>
      <c r="B85" t="s">
        <v>120</v>
      </c>
      <c r="C85">
        <v>0.30551152999999998</v>
      </c>
      <c r="D85">
        <v>4.4373588000000002</v>
      </c>
      <c r="E85">
        <v>3.5506766500000002</v>
      </c>
      <c r="F85">
        <v>21.602171550000001</v>
      </c>
      <c r="H85">
        <v>82</v>
      </c>
      <c r="I85" t="s">
        <v>124</v>
      </c>
      <c r="J85">
        <v>3.2645439120000002</v>
      </c>
      <c r="K85">
        <v>1.7945462000000001</v>
      </c>
      <c r="L85">
        <v>3.6669138000000001</v>
      </c>
      <c r="M85">
        <v>26.963432109999999</v>
      </c>
      <c r="O85">
        <v>82</v>
      </c>
      <c r="P85" t="s">
        <v>59</v>
      </c>
      <c r="Q85">
        <v>3.8989055600000002</v>
      </c>
      <c r="R85">
        <v>-1.818163872</v>
      </c>
      <c r="S85">
        <v>1.5694019699999999</v>
      </c>
      <c r="T85">
        <v>3.1457314099999998</v>
      </c>
    </row>
    <row r="86" spans="1:20" x14ac:dyDescent="0.2">
      <c r="A86">
        <v>86</v>
      </c>
      <c r="B86" t="s">
        <v>41</v>
      </c>
      <c r="C86">
        <v>1.60845226</v>
      </c>
      <c r="D86">
        <v>3.5109832999999999</v>
      </c>
      <c r="E86">
        <v>3.5118254150000001</v>
      </c>
      <c r="F86">
        <v>4.98838458</v>
      </c>
      <c r="H86">
        <v>83</v>
      </c>
      <c r="I86" t="s">
        <v>140</v>
      </c>
      <c r="J86">
        <v>3.3237844270000001</v>
      </c>
      <c r="K86">
        <v>1.2051377000000001</v>
      </c>
      <c r="L86">
        <v>3.6184804000000002</v>
      </c>
      <c r="M86">
        <v>16.578122659999998</v>
      </c>
      <c r="O86">
        <v>83</v>
      </c>
      <c r="P86" t="s">
        <v>107</v>
      </c>
      <c r="Q86">
        <v>-0.40801212999999997</v>
      </c>
      <c r="R86">
        <v>2.7406496370000002</v>
      </c>
      <c r="S86">
        <v>1.55004506</v>
      </c>
      <c r="T86">
        <v>15.14701346</v>
      </c>
    </row>
    <row r="87" spans="1:20" x14ac:dyDescent="0.2">
      <c r="A87">
        <v>87</v>
      </c>
      <c r="B87" t="s">
        <v>121</v>
      </c>
      <c r="C87">
        <v>4.8554888199999997</v>
      </c>
      <c r="D87">
        <v>-0.28105790000000003</v>
      </c>
      <c r="E87">
        <v>3.4544823839999999</v>
      </c>
      <c r="F87">
        <v>29.39492542</v>
      </c>
      <c r="H87">
        <v>84</v>
      </c>
      <c r="I87" t="s">
        <v>113</v>
      </c>
      <c r="J87">
        <v>3.2941873840000002</v>
      </c>
      <c r="K87">
        <v>1.7635978000000001</v>
      </c>
      <c r="L87">
        <v>3.5068915000000001</v>
      </c>
      <c r="M87">
        <v>28.221126470000002</v>
      </c>
      <c r="O87">
        <v>84</v>
      </c>
      <c r="P87" t="s">
        <v>48</v>
      </c>
      <c r="Q87">
        <v>-1.0692096900000001</v>
      </c>
      <c r="R87">
        <v>3.1062837650000001</v>
      </c>
      <c r="S87">
        <v>1.4690476100000001</v>
      </c>
      <c r="T87">
        <v>11.29591946</v>
      </c>
    </row>
    <row r="88" spans="1:20" x14ac:dyDescent="0.2">
      <c r="A88">
        <v>88</v>
      </c>
      <c r="B88" t="s">
        <v>122</v>
      </c>
      <c r="C88">
        <v>0.59520360999999999</v>
      </c>
      <c r="D88">
        <v>3.8279904999999999</v>
      </c>
      <c r="E88">
        <v>3.3293483820000001</v>
      </c>
      <c r="F88">
        <v>29.91927806</v>
      </c>
      <c r="H88">
        <v>85</v>
      </c>
      <c r="I88" t="s">
        <v>121</v>
      </c>
      <c r="J88">
        <v>2.327586583</v>
      </c>
      <c r="K88">
        <v>2.4930745999999999</v>
      </c>
      <c r="L88">
        <v>3.4182285000000001</v>
      </c>
      <c r="M88">
        <v>28.484573269999999</v>
      </c>
      <c r="O88">
        <v>85</v>
      </c>
      <c r="P88" t="s">
        <v>149</v>
      </c>
      <c r="Q88">
        <v>1.0010015000000001</v>
      </c>
      <c r="R88">
        <v>1.0010015029999999</v>
      </c>
      <c r="S88">
        <v>1.417001</v>
      </c>
      <c r="T88">
        <v>0.15918305999999999</v>
      </c>
    </row>
    <row r="89" spans="1:20" x14ac:dyDescent="0.2">
      <c r="A89">
        <v>89</v>
      </c>
      <c r="B89" t="s">
        <v>123</v>
      </c>
      <c r="C89">
        <v>1.0062800199999999</v>
      </c>
      <c r="D89">
        <v>3.5343513</v>
      </c>
      <c r="E89">
        <v>3.239974653</v>
      </c>
      <c r="F89">
        <v>11.524376500000001</v>
      </c>
      <c r="H89">
        <v>86</v>
      </c>
      <c r="I89" t="s">
        <v>143</v>
      </c>
      <c r="J89">
        <v>2.4225298980000001</v>
      </c>
      <c r="K89">
        <v>2.1635290999999999</v>
      </c>
      <c r="L89">
        <v>3.3802393999999998</v>
      </c>
      <c r="M89">
        <v>7.7535718500000002</v>
      </c>
      <c r="O89">
        <v>86</v>
      </c>
      <c r="P89" t="s">
        <v>125</v>
      </c>
      <c r="Q89">
        <v>-1.1266313299999999</v>
      </c>
      <c r="R89">
        <v>2.7709889520000002</v>
      </c>
      <c r="S89">
        <v>1.36384813</v>
      </c>
      <c r="T89">
        <v>22.272318800000001</v>
      </c>
    </row>
    <row r="90" spans="1:20" x14ac:dyDescent="0.2">
      <c r="A90">
        <v>90</v>
      </c>
      <c r="B90" t="s">
        <v>124</v>
      </c>
      <c r="C90">
        <v>4.4749875000000001</v>
      </c>
      <c r="D90">
        <v>-0.32515880000000003</v>
      </c>
      <c r="E90">
        <v>3.219140055</v>
      </c>
      <c r="F90">
        <v>31.915881689999999</v>
      </c>
      <c r="H90">
        <v>87</v>
      </c>
      <c r="I90" t="s">
        <v>116</v>
      </c>
      <c r="J90">
        <v>3.3654229760000001</v>
      </c>
      <c r="K90">
        <v>1.0146675999999999</v>
      </c>
      <c r="L90">
        <v>3.3177072000000001</v>
      </c>
      <c r="M90">
        <v>25.935350199999998</v>
      </c>
      <c r="O90">
        <v>87</v>
      </c>
      <c r="P90" t="s">
        <v>103</v>
      </c>
      <c r="Q90">
        <v>-0.52545635999999996</v>
      </c>
      <c r="R90">
        <v>2.2877348729999998</v>
      </c>
      <c r="S90">
        <v>1.30386848</v>
      </c>
      <c r="T90">
        <v>25.26659643</v>
      </c>
    </row>
    <row r="91" spans="1:20" x14ac:dyDescent="0.2">
      <c r="A91">
        <v>91</v>
      </c>
      <c r="B91" t="s">
        <v>125</v>
      </c>
      <c r="C91">
        <v>-0.31032978</v>
      </c>
      <c r="D91">
        <v>4.6428041999999996</v>
      </c>
      <c r="E91">
        <v>3.2060710010000002</v>
      </c>
      <c r="F91">
        <v>25.782009049999999</v>
      </c>
      <c r="H91">
        <v>88</v>
      </c>
      <c r="I91" t="s">
        <v>114</v>
      </c>
      <c r="J91">
        <v>2.8761578719999998</v>
      </c>
      <c r="K91">
        <v>1.4806182999999999</v>
      </c>
      <c r="L91">
        <v>3.2716745</v>
      </c>
      <c r="M91">
        <v>22.158429980000001</v>
      </c>
      <c r="O91">
        <v>88</v>
      </c>
      <c r="P91" t="s">
        <v>55</v>
      </c>
      <c r="Q91">
        <v>0.42897622000000002</v>
      </c>
      <c r="R91">
        <v>1.5010052730000001</v>
      </c>
      <c r="S91">
        <v>1.2898587399999999</v>
      </c>
      <c r="T91">
        <v>3.5811298300000001</v>
      </c>
    </row>
    <row r="92" spans="1:20" x14ac:dyDescent="0.2">
      <c r="A92">
        <v>92</v>
      </c>
      <c r="B92" t="s">
        <v>126</v>
      </c>
      <c r="C92">
        <v>1.0258924300000001</v>
      </c>
      <c r="D92">
        <v>2.9690571000000001</v>
      </c>
      <c r="E92">
        <v>3.1188509010000001</v>
      </c>
      <c r="F92">
        <v>28.38465261</v>
      </c>
      <c r="H92">
        <v>89</v>
      </c>
      <c r="I92" t="s">
        <v>119</v>
      </c>
      <c r="J92">
        <v>3.004444533</v>
      </c>
      <c r="K92">
        <v>1.3029153</v>
      </c>
      <c r="L92">
        <v>3.0571826999999998</v>
      </c>
      <c r="M92">
        <v>22.573932330000002</v>
      </c>
      <c r="O92">
        <v>89</v>
      </c>
      <c r="P92" t="s">
        <v>150</v>
      </c>
      <c r="Q92">
        <v>3.6716459999999999E-2</v>
      </c>
      <c r="R92">
        <v>1.6308400300000001</v>
      </c>
      <c r="S92">
        <v>1.28067647</v>
      </c>
      <c r="T92">
        <v>0.50114093000000004</v>
      </c>
    </row>
    <row r="93" spans="1:20" x14ac:dyDescent="0.2">
      <c r="A93">
        <v>93</v>
      </c>
      <c r="B93" t="s">
        <v>127</v>
      </c>
      <c r="C93">
        <v>0.86229069000000003</v>
      </c>
      <c r="D93">
        <v>3.2868046</v>
      </c>
      <c r="E93">
        <v>3.1176382610000002</v>
      </c>
      <c r="F93">
        <v>29.90188917</v>
      </c>
      <c r="H93">
        <v>90</v>
      </c>
      <c r="I93" t="s">
        <v>123</v>
      </c>
      <c r="J93">
        <v>0.55601804300000002</v>
      </c>
      <c r="K93">
        <v>3.6116700000000002</v>
      </c>
      <c r="L93">
        <v>2.9664326000000001</v>
      </c>
      <c r="M93">
        <v>9.8439136099999995</v>
      </c>
      <c r="O93">
        <v>90</v>
      </c>
      <c r="P93" t="s">
        <v>117</v>
      </c>
      <c r="Q93">
        <v>2.7924332299999999</v>
      </c>
      <c r="R93">
        <v>-1.3084318450000001</v>
      </c>
      <c r="S93">
        <v>1.2291720699999999</v>
      </c>
      <c r="T93">
        <v>9.8481285399999994</v>
      </c>
    </row>
    <row r="94" spans="1:20" x14ac:dyDescent="0.2">
      <c r="A94">
        <v>94</v>
      </c>
      <c r="B94" t="s">
        <v>128</v>
      </c>
      <c r="C94">
        <v>-0.13597972999999999</v>
      </c>
      <c r="D94">
        <v>3.9390212999999998</v>
      </c>
      <c r="E94">
        <v>3.0451974879999999</v>
      </c>
      <c r="F94">
        <v>9.9007932099999998</v>
      </c>
      <c r="H94">
        <v>91</v>
      </c>
      <c r="I94" t="s">
        <v>130</v>
      </c>
      <c r="J94">
        <v>4.6461466979999999</v>
      </c>
      <c r="K94">
        <v>-0.98624040000000002</v>
      </c>
      <c r="L94">
        <v>2.9424510000000001</v>
      </c>
      <c r="M94">
        <v>30.975979729999999</v>
      </c>
      <c r="O94">
        <v>91</v>
      </c>
      <c r="P94" t="s">
        <v>141</v>
      </c>
      <c r="Q94">
        <v>2.2261069400000002</v>
      </c>
      <c r="R94">
        <v>-0.62585060800000003</v>
      </c>
      <c r="S94">
        <v>1.2120570799999999</v>
      </c>
      <c r="T94">
        <v>14.44235041</v>
      </c>
    </row>
    <row r="95" spans="1:20" x14ac:dyDescent="0.2">
      <c r="A95">
        <v>95</v>
      </c>
      <c r="B95" t="s">
        <v>129</v>
      </c>
      <c r="C95">
        <v>-1.4194264400000001</v>
      </c>
      <c r="D95">
        <v>5.0825015000000002</v>
      </c>
      <c r="E95">
        <v>2.9545041049999998</v>
      </c>
      <c r="F95">
        <v>10.52161506</v>
      </c>
      <c r="H95">
        <v>92</v>
      </c>
      <c r="I95" t="s">
        <v>120</v>
      </c>
      <c r="J95">
        <v>-1.8706538000000002E-2</v>
      </c>
      <c r="K95">
        <v>3.9762669000000002</v>
      </c>
      <c r="L95">
        <v>2.8688802999999998</v>
      </c>
      <c r="M95">
        <v>16.883511980000002</v>
      </c>
      <c r="O95">
        <v>92</v>
      </c>
      <c r="P95" t="s">
        <v>140</v>
      </c>
      <c r="Q95">
        <v>-2.6319550000000001E-2</v>
      </c>
      <c r="R95">
        <v>1.583248081</v>
      </c>
      <c r="S95">
        <v>1.1944174999999999</v>
      </c>
      <c r="T95">
        <v>21.60418421</v>
      </c>
    </row>
    <row r="96" spans="1:20" x14ac:dyDescent="0.2">
      <c r="A96">
        <v>96</v>
      </c>
      <c r="B96" t="s">
        <v>130</v>
      </c>
      <c r="C96">
        <v>1.7813272899999999</v>
      </c>
      <c r="D96">
        <v>1.9295914999999999</v>
      </c>
      <c r="E96">
        <v>2.7296338570000001</v>
      </c>
      <c r="F96">
        <v>32.048243239999998</v>
      </c>
      <c r="H96">
        <v>93</v>
      </c>
      <c r="I96" t="s">
        <v>104</v>
      </c>
      <c r="J96">
        <v>0.69075509400000001</v>
      </c>
      <c r="K96">
        <v>3.2507584999999999</v>
      </c>
      <c r="L96">
        <v>2.7885602</v>
      </c>
      <c r="M96">
        <v>23.7120742</v>
      </c>
      <c r="O96">
        <v>93</v>
      </c>
      <c r="P96" t="s">
        <v>132</v>
      </c>
      <c r="Q96">
        <v>0.82025468999999995</v>
      </c>
      <c r="R96">
        <v>0.88744288699999996</v>
      </c>
      <c r="S96">
        <v>1.17611507</v>
      </c>
      <c r="T96">
        <v>6.8954132399999999</v>
      </c>
    </row>
    <row r="97" spans="1:20" x14ac:dyDescent="0.2">
      <c r="A97">
        <v>97</v>
      </c>
      <c r="B97" t="s">
        <v>131</v>
      </c>
      <c r="C97">
        <v>1.42207755</v>
      </c>
      <c r="D97">
        <v>1.9627060000000001</v>
      </c>
      <c r="E97">
        <v>2.723000608</v>
      </c>
      <c r="F97">
        <v>28.139278239999999</v>
      </c>
      <c r="H97">
        <v>94</v>
      </c>
      <c r="I97" t="s">
        <v>97</v>
      </c>
      <c r="J97">
        <v>1.19948838</v>
      </c>
      <c r="K97">
        <v>2.4618997999999999</v>
      </c>
      <c r="L97">
        <v>2.7757171</v>
      </c>
      <c r="M97">
        <v>21.68053068</v>
      </c>
      <c r="O97">
        <v>94</v>
      </c>
      <c r="P97" t="s">
        <v>99</v>
      </c>
      <c r="Q97">
        <v>-0.66138388999999997</v>
      </c>
      <c r="R97">
        <v>2.1863359519999999</v>
      </c>
      <c r="S97">
        <v>1.1412679100000001</v>
      </c>
      <c r="T97">
        <v>24.590253499999999</v>
      </c>
    </row>
    <row r="98" spans="1:20" x14ac:dyDescent="0.2">
      <c r="A98">
        <v>98</v>
      </c>
      <c r="B98" t="s">
        <v>132</v>
      </c>
      <c r="C98">
        <v>2.4156848700000002</v>
      </c>
      <c r="D98">
        <v>1.2883568999999999</v>
      </c>
      <c r="E98">
        <v>2.6413455350000001</v>
      </c>
      <c r="F98">
        <v>8.1258657099999994</v>
      </c>
      <c r="H98">
        <v>95</v>
      </c>
      <c r="I98" t="s">
        <v>108</v>
      </c>
      <c r="J98">
        <v>-0.63071524499999998</v>
      </c>
      <c r="K98">
        <v>4.0581904</v>
      </c>
      <c r="L98">
        <v>2.7250492999999998</v>
      </c>
      <c r="M98">
        <v>27.629247400000001</v>
      </c>
      <c r="O98">
        <v>95</v>
      </c>
      <c r="P98" t="s">
        <v>143</v>
      </c>
      <c r="Q98">
        <v>-0.18457887000000001</v>
      </c>
      <c r="R98">
        <v>1.657163994</v>
      </c>
      <c r="S98">
        <v>1.13986111</v>
      </c>
      <c r="T98">
        <v>12.977550730000001</v>
      </c>
    </row>
    <row r="99" spans="1:20" x14ac:dyDescent="0.2">
      <c r="A99">
        <v>99</v>
      </c>
      <c r="B99" t="s">
        <v>133</v>
      </c>
      <c r="C99">
        <v>0.15798196</v>
      </c>
      <c r="D99">
        <v>3.3483592999999998</v>
      </c>
      <c r="E99">
        <v>2.578341424</v>
      </c>
      <c r="F99">
        <v>32.538644050000002</v>
      </c>
      <c r="H99">
        <v>96</v>
      </c>
      <c r="I99" t="s">
        <v>127</v>
      </c>
      <c r="J99">
        <v>1.1270621519999999</v>
      </c>
      <c r="K99">
        <v>2.4286311</v>
      </c>
      <c r="L99">
        <v>2.7026463999999999</v>
      </c>
      <c r="M99">
        <v>28.250883349999999</v>
      </c>
      <c r="O99">
        <v>96</v>
      </c>
      <c r="P99" t="s">
        <v>43</v>
      </c>
      <c r="Q99">
        <v>-1.10979889</v>
      </c>
      <c r="R99">
        <v>2.6363552050000001</v>
      </c>
      <c r="S99">
        <v>1.1213727</v>
      </c>
      <c r="T99">
        <v>4.0599635200000002</v>
      </c>
    </row>
    <row r="100" spans="1:20" x14ac:dyDescent="0.2">
      <c r="A100">
        <v>100</v>
      </c>
      <c r="B100" t="s">
        <v>134</v>
      </c>
      <c r="C100">
        <v>-0.31908965</v>
      </c>
      <c r="D100">
        <v>3.9268592</v>
      </c>
      <c r="E100">
        <v>2.5695155010000001</v>
      </c>
      <c r="F100">
        <v>28.043581440000001</v>
      </c>
      <c r="H100">
        <v>97</v>
      </c>
      <c r="I100" t="s">
        <v>58</v>
      </c>
      <c r="J100">
        <v>0.28688466800000001</v>
      </c>
      <c r="K100">
        <v>3.5559446000000001</v>
      </c>
      <c r="L100">
        <v>2.7016073</v>
      </c>
      <c r="M100">
        <v>2.5502979699999999</v>
      </c>
      <c r="O100">
        <v>97</v>
      </c>
      <c r="P100" t="s">
        <v>105</v>
      </c>
      <c r="Q100">
        <v>1.9109268699999999</v>
      </c>
      <c r="R100">
        <v>-0.45341391599999997</v>
      </c>
      <c r="S100">
        <v>1.11523609</v>
      </c>
      <c r="T100">
        <v>24.416146619999999</v>
      </c>
    </row>
    <row r="101" spans="1:20" x14ac:dyDescent="0.2">
      <c r="A101">
        <v>101</v>
      </c>
      <c r="B101" t="s">
        <v>135</v>
      </c>
      <c r="C101">
        <v>3.04821542</v>
      </c>
      <c r="D101">
        <v>0.58246679999999995</v>
      </c>
      <c r="E101">
        <v>2.4855413089999998</v>
      </c>
      <c r="F101">
        <v>29.58236617</v>
      </c>
      <c r="H101">
        <v>98</v>
      </c>
      <c r="I101" t="s">
        <v>132</v>
      </c>
      <c r="J101">
        <v>0.47827923900000002</v>
      </c>
      <c r="K101">
        <v>3.1419134999999998</v>
      </c>
      <c r="L101">
        <v>2.6785434000000001</v>
      </c>
      <c r="M101">
        <v>6.5107062600000001</v>
      </c>
      <c r="O101">
        <v>98</v>
      </c>
      <c r="P101" t="s">
        <v>137</v>
      </c>
      <c r="Q101">
        <v>-0.17451616</v>
      </c>
      <c r="R101">
        <v>1.5346134709999999</v>
      </c>
      <c r="S101">
        <v>1.07260054</v>
      </c>
      <c r="T101">
        <v>25.24702164</v>
      </c>
    </row>
    <row r="102" spans="1:20" x14ac:dyDescent="0.2">
      <c r="A102">
        <v>102</v>
      </c>
      <c r="B102" t="s">
        <v>58</v>
      </c>
      <c r="C102">
        <v>0.59879548999999999</v>
      </c>
      <c r="D102">
        <v>2.7599369</v>
      </c>
      <c r="E102">
        <v>2.3729362549999999</v>
      </c>
      <c r="F102">
        <v>2.3939029399999998</v>
      </c>
      <c r="H102">
        <v>99</v>
      </c>
      <c r="I102" t="s">
        <v>141</v>
      </c>
      <c r="J102">
        <v>-0.76609095699999996</v>
      </c>
      <c r="K102">
        <v>3.8892229</v>
      </c>
      <c r="L102">
        <v>2.5490271</v>
      </c>
      <c r="M102">
        <v>15.877397139999999</v>
      </c>
      <c r="O102">
        <v>99</v>
      </c>
      <c r="P102" t="s">
        <v>129</v>
      </c>
      <c r="Q102">
        <v>2.3498775699999999</v>
      </c>
      <c r="R102">
        <v>-0.80954974000000002</v>
      </c>
      <c r="S102">
        <v>1.07061904</v>
      </c>
      <c r="T102">
        <v>7.6405936700000003</v>
      </c>
    </row>
    <row r="103" spans="1:20" x14ac:dyDescent="0.2">
      <c r="A103">
        <v>103</v>
      </c>
      <c r="B103" t="s">
        <v>136</v>
      </c>
      <c r="C103">
        <v>0.20781728999999999</v>
      </c>
      <c r="D103">
        <v>3.0257831999999998</v>
      </c>
      <c r="E103">
        <v>2.3466265470000001</v>
      </c>
      <c r="F103">
        <v>23.17317809</v>
      </c>
      <c r="H103">
        <v>100</v>
      </c>
      <c r="I103" t="s">
        <v>111</v>
      </c>
      <c r="J103">
        <v>0.65859668800000004</v>
      </c>
      <c r="K103">
        <v>2.6455484</v>
      </c>
      <c r="L103">
        <v>2.5361058000000001</v>
      </c>
      <c r="M103">
        <v>24.629715000000001</v>
      </c>
      <c r="O103">
        <v>100</v>
      </c>
      <c r="P103" t="s">
        <v>142</v>
      </c>
      <c r="Q103">
        <v>2.4533752500000001</v>
      </c>
      <c r="R103">
        <v>-1.1152826410000001</v>
      </c>
      <c r="S103">
        <v>1.03092936</v>
      </c>
      <c r="T103">
        <v>24.813579969999999</v>
      </c>
    </row>
    <row r="104" spans="1:20" x14ac:dyDescent="0.2">
      <c r="A104">
        <v>104</v>
      </c>
      <c r="B104" t="s">
        <v>137</v>
      </c>
      <c r="C104">
        <v>1.1412462000000001</v>
      </c>
      <c r="D104">
        <v>2.1958403</v>
      </c>
      <c r="E104">
        <v>2.3382177369999999</v>
      </c>
      <c r="F104">
        <v>25.472728100000001</v>
      </c>
      <c r="H104">
        <v>101</v>
      </c>
      <c r="I104" t="s">
        <v>103</v>
      </c>
      <c r="J104">
        <v>2.426992866</v>
      </c>
      <c r="K104">
        <v>0.93406690000000003</v>
      </c>
      <c r="L104">
        <v>2.4997786</v>
      </c>
      <c r="M104">
        <v>28.701723529999999</v>
      </c>
      <c r="O104">
        <v>101</v>
      </c>
      <c r="P104" t="s">
        <v>63</v>
      </c>
      <c r="Q104">
        <v>0</v>
      </c>
      <c r="R104">
        <v>1.0010015029999999</v>
      </c>
      <c r="S104">
        <v>1.0010015000000001</v>
      </c>
      <c r="T104">
        <v>6.4270839999999996E-2</v>
      </c>
    </row>
    <row r="105" spans="1:20" x14ac:dyDescent="0.2">
      <c r="A105">
        <v>105</v>
      </c>
      <c r="B105" t="s">
        <v>56</v>
      </c>
      <c r="C105">
        <v>0.62287808</v>
      </c>
      <c r="D105">
        <v>2.6580628000000002</v>
      </c>
      <c r="E105">
        <v>2.3319237959999999</v>
      </c>
      <c r="F105">
        <v>5.6621637700000003</v>
      </c>
      <c r="H105">
        <v>102</v>
      </c>
      <c r="I105" t="s">
        <v>43</v>
      </c>
      <c r="J105">
        <v>0.60517147699999996</v>
      </c>
      <c r="K105">
        <v>2.4242485</v>
      </c>
      <c r="L105">
        <v>2.4672996</v>
      </c>
      <c r="M105">
        <v>6.0591130599999996</v>
      </c>
      <c r="O105">
        <v>102</v>
      </c>
      <c r="P105" t="s">
        <v>116</v>
      </c>
      <c r="Q105">
        <v>1.31833219</v>
      </c>
      <c r="R105">
        <v>-9.5231731999999999E-2</v>
      </c>
      <c r="S105">
        <v>0.94241617</v>
      </c>
      <c r="T105">
        <v>24.467443679999999</v>
      </c>
    </row>
    <row r="106" spans="1:20" x14ac:dyDescent="0.2">
      <c r="A106">
        <v>106</v>
      </c>
      <c r="B106" t="s">
        <v>138</v>
      </c>
      <c r="C106">
        <v>-0.88550035999999999</v>
      </c>
      <c r="D106">
        <v>2.9779187</v>
      </c>
      <c r="E106">
        <v>1.8857978129999999</v>
      </c>
      <c r="F106">
        <v>4.3083821000000002</v>
      </c>
      <c r="H106">
        <v>103</v>
      </c>
      <c r="I106" t="s">
        <v>146</v>
      </c>
      <c r="J106">
        <v>1.2698768499999999</v>
      </c>
      <c r="K106">
        <v>2.1029024000000001</v>
      </c>
      <c r="L106">
        <v>2.4363106999999999</v>
      </c>
      <c r="M106">
        <v>27.939309170000001</v>
      </c>
      <c r="O106">
        <v>103</v>
      </c>
      <c r="P106" t="s">
        <v>138</v>
      </c>
      <c r="Q106">
        <v>1.5315465699999999</v>
      </c>
      <c r="R106">
        <v>-0.20947770299999999</v>
      </c>
      <c r="S106">
        <v>0.93525742999999995</v>
      </c>
      <c r="T106">
        <v>9.0451215200000004</v>
      </c>
    </row>
    <row r="107" spans="1:20" x14ac:dyDescent="0.2">
      <c r="A107">
        <v>107</v>
      </c>
      <c r="B107" t="s">
        <v>139</v>
      </c>
      <c r="C107">
        <v>-7.8525559999999994E-2</v>
      </c>
      <c r="D107">
        <v>2.7311009999999998</v>
      </c>
      <c r="E107">
        <v>1.8834710320000001</v>
      </c>
      <c r="F107">
        <v>28.352476639999999</v>
      </c>
      <c r="H107">
        <v>104</v>
      </c>
      <c r="I107" t="s">
        <v>107</v>
      </c>
      <c r="J107">
        <v>0.86337843299999995</v>
      </c>
      <c r="K107">
        <v>2.3862442000000001</v>
      </c>
      <c r="L107">
        <v>2.3444666000000001</v>
      </c>
      <c r="M107">
        <v>9.5759621799999994</v>
      </c>
      <c r="O107">
        <v>104</v>
      </c>
      <c r="P107" t="s">
        <v>124</v>
      </c>
      <c r="Q107">
        <v>2.1598018300000001</v>
      </c>
      <c r="R107">
        <v>-0.90891153800000002</v>
      </c>
      <c r="S107">
        <v>0.89016477999999999</v>
      </c>
      <c r="T107">
        <v>24.30194994</v>
      </c>
    </row>
    <row r="108" spans="1:20" x14ac:dyDescent="0.2">
      <c r="A108">
        <v>108</v>
      </c>
      <c r="B108" t="s">
        <v>140</v>
      </c>
      <c r="C108">
        <v>0.73163822999999995</v>
      </c>
      <c r="D108">
        <v>1.7232886999999999</v>
      </c>
      <c r="E108">
        <v>1.834745845</v>
      </c>
      <c r="F108">
        <v>22.01892866</v>
      </c>
      <c r="H108">
        <v>105</v>
      </c>
      <c r="I108" t="s">
        <v>145</v>
      </c>
      <c r="J108">
        <v>0.52721732700000001</v>
      </c>
      <c r="K108">
        <v>2.5695125999999999</v>
      </c>
      <c r="L108">
        <v>2.2293837999999999</v>
      </c>
      <c r="M108">
        <v>2.6834766000000001</v>
      </c>
      <c r="O108">
        <v>105</v>
      </c>
      <c r="P108" t="s">
        <v>102</v>
      </c>
      <c r="Q108">
        <v>0.13263828999999999</v>
      </c>
      <c r="R108">
        <v>1.0444411060000001</v>
      </c>
      <c r="S108">
        <v>0.85497862000000002</v>
      </c>
      <c r="T108">
        <v>19.70219779</v>
      </c>
    </row>
    <row r="109" spans="1:20" x14ac:dyDescent="0.2">
      <c r="A109">
        <v>109</v>
      </c>
      <c r="B109" t="s">
        <v>141</v>
      </c>
      <c r="C109">
        <v>-8.766902E-2</v>
      </c>
      <c r="D109">
        <v>2.4650208999999998</v>
      </c>
      <c r="E109">
        <v>1.684370481</v>
      </c>
      <c r="F109">
        <v>16.237302069999998</v>
      </c>
      <c r="H109">
        <v>106</v>
      </c>
      <c r="I109" t="s">
        <v>135</v>
      </c>
      <c r="J109">
        <v>4.3488252779999996</v>
      </c>
      <c r="K109">
        <v>-1.2179879</v>
      </c>
      <c r="L109">
        <v>2.1400858</v>
      </c>
      <c r="M109">
        <v>27.62758835</v>
      </c>
      <c r="O109">
        <v>106</v>
      </c>
      <c r="P109" t="s">
        <v>58</v>
      </c>
      <c r="Q109">
        <v>-0.30465353000000001</v>
      </c>
      <c r="R109">
        <v>1.822914393</v>
      </c>
      <c r="S109">
        <v>0.83292588999999995</v>
      </c>
      <c r="T109">
        <v>5.8651981700000002</v>
      </c>
    </row>
    <row r="110" spans="1:20" x14ac:dyDescent="0.2">
      <c r="A110">
        <v>110</v>
      </c>
      <c r="B110" t="s">
        <v>57</v>
      </c>
      <c r="C110">
        <v>0.89502605000000002</v>
      </c>
      <c r="D110">
        <v>2.2471125999999999</v>
      </c>
      <c r="E110">
        <v>1.6153983439999999</v>
      </c>
      <c r="F110">
        <v>0.26392162000000002</v>
      </c>
      <c r="H110">
        <v>107</v>
      </c>
      <c r="I110" t="s">
        <v>138</v>
      </c>
      <c r="J110">
        <v>0.67845710000000004</v>
      </c>
      <c r="K110">
        <v>2.4413090999999998</v>
      </c>
      <c r="L110">
        <v>2.0794847000000001</v>
      </c>
      <c r="M110">
        <v>3.65857601</v>
      </c>
      <c r="O110">
        <v>107</v>
      </c>
      <c r="P110" t="s">
        <v>108</v>
      </c>
      <c r="Q110">
        <v>0.15854222000000001</v>
      </c>
      <c r="R110">
        <v>0.85336826499999996</v>
      </c>
      <c r="S110">
        <v>0.75448479000000002</v>
      </c>
      <c r="T110">
        <v>24.843036059999999</v>
      </c>
    </row>
    <row r="111" spans="1:20" x14ac:dyDescent="0.2">
      <c r="A111">
        <v>111</v>
      </c>
      <c r="B111" t="s">
        <v>142</v>
      </c>
      <c r="C111">
        <v>2.1461880199999999</v>
      </c>
      <c r="D111">
        <v>0.1647903</v>
      </c>
      <c r="E111">
        <v>1.5828657690000001</v>
      </c>
      <c r="F111">
        <v>28.321509070000001</v>
      </c>
      <c r="H111">
        <v>108</v>
      </c>
      <c r="I111" t="s">
        <v>55</v>
      </c>
      <c r="J111">
        <v>1.161109446</v>
      </c>
      <c r="K111">
        <v>1.6398348</v>
      </c>
      <c r="L111">
        <v>2.0545792999999999</v>
      </c>
      <c r="M111">
        <v>2.47878797</v>
      </c>
      <c r="O111">
        <v>108</v>
      </c>
      <c r="P111" t="s">
        <v>152</v>
      </c>
      <c r="Q111">
        <v>0.70223278</v>
      </c>
      <c r="R111">
        <v>0.34317289899999998</v>
      </c>
      <c r="S111">
        <v>0.74276640999999999</v>
      </c>
      <c r="T111">
        <v>1.16105356</v>
      </c>
    </row>
    <row r="112" spans="1:20" x14ac:dyDescent="0.2">
      <c r="A112">
        <v>112</v>
      </c>
      <c r="B112" t="s">
        <v>143</v>
      </c>
      <c r="C112">
        <v>0.28019886999999999</v>
      </c>
      <c r="D112">
        <v>1.6787167000000001</v>
      </c>
      <c r="E112">
        <v>1.3865613809999999</v>
      </c>
      <c r="F112">
        <v>9.8985021900000003</v>
      </c>
      <c r="H112">
        <v>109</v>
      </c>
      <c r="I112" t="s">
        <v>109</v>
      </c>
      <c r="J112">
        <v>1.3582001319999999</v>
      </c>
      <c r="K112">
        <v>1.3738979</v>
      </c>
      <c r="L112">
        <v>1.8884862</v>
      </c>
      <c r="M112">
        <v>25.328218119999999</v>
      </c>
      <c r="O112">
        <v>109</v>
      </c>
      <c r="P112" t="s">
        <v>135</v>
      </c>
      <c r="Q112">
        <v>1.2944935200000001</v>
      </c>
      <c r="R112">
        <v>-0.214983917</v>
      </c>
      <c r="S112">
        <v>0.74240792</v>
      </c>
      <c r="T112">
        <v>25.813287930000001</v>
      </c>
    </row>
    <row r="113" spans="1:20" x14ac:dyDescent="0.2">
      <c r="A113">
        <v>113</v>
      </c>
      <c r="B113" t="s">
        <v>144</v>
      </c>
      <c r="C113">
        <v>0.25101915000000002</v>
      </c>
      <c r="D113">
        <v>1.5617881</v>
      </c>
      <c r="E113">
        <v>1.332891702</v>
      </c>
      <c r="F113">
        <v>29.41683226</v>
      </c>
      <c r="H113">
        <v>110</v>
      </c>
      <c r="I113" t="s">
        <v>142</v>
      </c>
      <c r="J113">
        <v>9.4975792000000003E-2</v>
      </c>
      <c r="K113">
        <v>2.2930179000000002</v>
      </c>
      <c r="L113">
        <v>1.7736352</v>
      </c>
      <c r="M113">
        <v>28.327242300000002</v>
      </c>
      <c r="O113">
        <v>110</v>
      </c>
      <c r="P113" t="s">
        <v>38</v>
      </c>
      <c r="Q113">
        <v>-1.2655095000000001</v>
      </c>
      <c r="R113">
        <v>1.9580111739999999</v>
      </c>
      <c r="S113">
        <v>0.64691200999999998</v>
      </c>
      <c r="T113">
        <v>10.217302200000001</v>
      </c>
    </row>
    <row r="114" spans="1:20" x14ac:dyDescent="0.2">
      <c r="A114">
        <v>114</v>
      </c>
      <c r="B114" t="s">
        <v>145</v>
      </c>
      <c r="C114">
        <v>1.78850179</v>
      </c>
      <c r="D114">
        <v>-0.22075429999999999</v>
      </c>
      <c r="E114">
        <v>1.328712407</v>
      </c>
      <c r="F114">
        <v>3.8907372900000001</v>
      </c>
      <c r="H114">
        <v>111</v>
      </c>
      <c r="I114" t="s">
        <v>151</v>
      </c>
      <c r="J114">
        <v>2.6056580359999999</v>
      </c>
      <c r="K114">
        <v>-0.15039469999999999</v>
      </c>
      <c r="L114">
        <v>1.6878169999999999</v>
      </c>
      <c r="M114">
        <v>1.0671218899999999</v>
      </c>
      <c r="O114">
        <v>111</v>
      </c>
      <c r="P114" t="s">
        <v>119</v>
      </c>
      <c r="Q114">
        <v>0.26775091000000001</v>
      </c>
      <c r="R114">
        <v>0.47792549699999998</v>
      </c>
      <c r="S114">
        <v>0.52983407000000005</v>
      </c>
      <c r="T114">
        <v>23.924775570000001</v>
      </c>
    </row>
    <row r="115" spans="1:20" x14ac:dyDescent="0.2">
      <c r="A115">
        <v>115</v>
      </c>
      <c r="B115" t="s">
        <v>146</v>
      </c>
      <c r="C115">
        <v>1.21058939</v>
      </c>
      <c r="D115">
        <v>0.50822560000000006</v>
      </c>
      <c r="E115">
        <v>1.3253528020000001</v>
      </c>
      <c r="F115">
        <v>29.543303940000001</v>
      </c>
      <c r="H115">
        <v>112</v>
      </c>
      <c r="I115" t="s">
        <v>153</v>
      </c>
      <c r="J115">
        <v>-0.63212193800000005</v>
      </c>
      <c r="K115">
        <v>2.4786071000000001</v>
      </c>
      <c r="L115">
        <v>1.6280337</v>
      </c>
      <c r="M115">
        <v>7.3920991100000002</v>
      </c>
      <c r="O115">
        <v>112</v>
      </c>
      <c r="P115" t="s">
        <v>128</v>
      </c>
      <c r="Q115">
        <v>1.15044521</v>
      </c>
      <c r="R115">
        <v>-0.78505672000000004</v>
      </c>
      <c r="S115">
        <v>0.44188342000000003</v>
      </c>
      <c r="T115">
        <v>7.9056701499999997</v>
      </c>
    </row>
    <row r="116" spans="1:20" x14ac:dyDescent="0.2">
      <c r="A116">
        <v>116</v>
      </c>
      <c r="B116" t="s">
        <v>55</v>
      </c>
      <c r="C116">
        <v>-3.019343E-2</v>
      </c>
      <c r="D116">
        <v>1.6607098</v>
      </c>
      <c r="E116">
        <v>1.135637808</v>
      </c>
      <c r="F116">
        <v>2.2760902399999998</v>
      </c>
      <c r="H116">
        <v>113</v>
      </c>
      <c r="I116" t="s">
        <v>122</v>
      </c>
      <c r="J116">
        <v>-1.2680320000000001E-3</v>
      </c>
      <c r="K116">
        <v>2.0716378</v>
      </c>
      <c r="L116">
        <v>1.4634319</v>
      </c>
      <c r="M116">
        <v>28.04996294</v>
      </c>
      <c r="O116">
        <v>113</v>
      </c>
      <c r="P116" t="s">
        <v>136</v>
      </c>
      <c r="Q116">
        <v>-1.3237067</v>
      </c>
      <c r="R116">
        <v>1.9411167890000001</v>
      </c>
      <c r="S116">
        <v>0.41602736000000001</v>
      </c>
      <c r="T116">
        <v>21.444457570000001</v>
      </c>
    </row>
    <row r="117" spans="1:20" x14ac:dyDescent="0.2">
      <c r="A117">
        <v>117</v>
      </c>
      <c r="B117" t="s">
        <v>147</v>
      </c>
      <c r="C117">
        <v>0.53118293999999999</v>
      </c>
      <c r="D117">
        <v>0.74944060000000001</v>
      </c>
      <c r="E117">
        <v>0.93366728099999996</v>
      </c>
      <c r="F117">
        <v>28.409279130000002</v>
      </c>
      <c r="H117">
        <v>114</v>
      </c>
      <c r="I117" t="s">
        <v>100</v>
      </c>
      <c r="J117">
        <v>-2.3025113610000001</v>
      </c>
      <c r="K117">
        <v>3.4976531999999998</v>
      </c>
      <c r="L117">
        <v>1.458129</v>
      </c>
      <c r="M117">
        <v>9.0721837300000008</v>
      </c>
      <c r="O117">
        <v>114</v>
      </c>
      <c r="P117" t="s">
        <v>126</v>
      </c>
      <c r="Q117">
        <v>2.6117342200000002</v>
      </c>
      <c r="R117">
        <v>-2.2229433420000002</v>
      </c>
      <c r="S117">
        <v>0.38000124000000002</v>
      </c>
      <c r="T117">
        <v>25.12942851</v>
      </c>
    </row>
    <row r="118" spans="1:20" x14ac:dyDescent="0.2">
      <c r="A118">
        <v>118</v>
      </c>
      <c r="B118" t="s">
        <v>60</v>
      </c>
      <c r="C118">
        <v>1.3254256499999999</v>
      </c>
      <c r="D118">
        <v>-0.105902</v>
      </c>
      <c r="E118">
        <v>0.81540237699999996</v>
      </c>
      <c r="F118">
        <v>1.11090478</v>
      </c>
      <c r="H118">
        <v>115</v>
      </c>
      <c r="I118" t="s">
        <v>49</v>
      </c>
      <c r="J118">
        <v>2.7001503999999999E-2</v>
      </c>
      <c r="K118">
        <v>1.7367885999999999</v>
      </c>
      <c r="L118">
        <v>1.3387168</v>
      </c>
      <c r="M118">
        <v>0.22153085</v>
      </c>
      <c r="O118">
        <v>115</v>
      </c>
      <c r="P118" t="s">
        <v>100</v>
      </c>
      <c r="Q118">
        <v>-0.90430334999999995</v>
      </c>
      <c r="R118">
        <v>1.364221648</v>
      </c>
      <c r="S118">
        <v>0.36180528000000001</v>
      </c>
      <c r="T118">
        <v>7.27599939</v>
      </c>
    </row>
    <row r="119" spans="1:20" x14ac:dyDescent="0.2">
      <c r="A119">
        <v>119</v>
      </c>
      <c r="B119" t="s">
        <v>148</v>
      </c>
      <c r="C119">
        <v>0.22444671999999999</v>
      </c>
      <c r="D119">
        <v>0.33531179999999999</v>
      </c>
      <c r="E119">
        <v>0.40811644200000002</v>
      </c>
      <c r="F119">
        <v>29.001981399999998</v>
      </c>
      <c r="H119">
        <v>116</v>
      </c>
      <c r="I119" t="s">
        <v>133</v>
      </c>
      <c r="J119">
        <v>0.83257800900000001</v>
      </c>
      <c r="K119">
        <v>0.95208800000000005</v>
      </c>
      <c r="L119">
        <v>1.2692840999999999</v>
      </c>
      <c r="M119">
        <v>29.358926749999998</v>
      </c>
      <c r="O119">
        <v>116</v>
      </c>
      <c r="P119" t="s">
        <v>118</v>
      </c>
      <c r="Q119">
        <v>-0.42117299000000002</v>
      </c>
      <c r="R119">
        <v>0.791520314</v>
      </c>
      <c r="S119">
        <v>0.24609189000000001</v>
      </c>
      <c r="T119">
        <v>20.64235974</v>
      </c>
    </row>
    <row r="120" spans="1:20" x14ac:dyDescent="0.2">
      <c r="A120">
        <v>120</v>
      </c>
      <c r="B120" t="s">
        <v>62</v>
      </c>
      <c r="C120">
        <v>0</v>
      </c>
      <c r="D120">
        <v>0</v>
      </c>
      <c r="E120">
        <v>0</v>
      </c>
      <c r="F120">
        <v>0</v>
      </c>
      <c r="H120">
        <v>117</v>
      </c>
      <c r="I120" t="s">
        <v>144</v>
      </c>
      <c r="J120">
        <v>0.99371630600000005</v>
      </c>
      <c r="K120">
        <v>0.46497060000000001</v>
      </c>
      <c r="L120">
        <v>1.0947889</v>
      </c>
      <c r="M120">
        <v>26.4227892</v>
      </c>
      <c r="O120">
        <v>117</v>
      </c>
      <c r="P120" t="s">
        <v>57</v>
      </c>
      <c r="Q120">
        <v>0.64189397000000004</v>
      </c>
      <c r="R120">
        <v>-0.54852535000000002</v>
      </c>
      <c r="S120">
        <v>0.20648920000000001</v>
      </c>
      <c r="T120">
        <v>0.83378138999999996</v>
      </c>
    </row>
    <row r="121" spans="1:20" x14ac:dyDescent="0.2">
      <c r="A121">
        <v>121</v>
      </c>
      <c r="B121" t="s">
        <v>63</v>
      </c>
      <c r="C121">
        <v>0</v>
      </c>
      <c r="D121">
        <v>0</v>
      </c>
      <c r="E121">
        <v>0</v>
      </c>
      <c r="F121">
        <v>5.0780199999999998E-2</v>
      </c>
      <c r="H121">
        <v>118</v>
      </c>
      <c r="I121" t="s">
        <v>59</v>
      </c>
      <c r="J121">
        <v>-2.2569022000000001E-2</v>
      </c>
      <c r="K121">
        <v>1.3153579</v>
      </c>
      <c r="L121">
        <v>1.0703975999999999</v>
      </c>
      <c r="M121">
        <v>4.0893864999999998</v>
      </c>
      <c r="O121">
        <v>118</v>
      </c>
      <c r="P121" t="s">
        <v>145</v>
      </c>
      <c r="Q121">
        <v>0.84878743000000001</v>
      </c>
      <c r="R121">
        <v>-0.62058682399999998</v>
      </c>
      <c r="S121">
        <v>0.17057227</v>
      </c>
      <c r="T121">
        <v>6.1273230200000004</v>
      </c>
    </row>
    <row r="122" spans="1:20" x14ac:dyDescent="0.2">
      <c r="A122">
        <v>122</v>
      </c>
      <c r="B122" t="s">
        <v>149</v>
      </c>
      <c r="C122">
        <v>0</v>
      </c>
      <c r="D122">
        <v>0</v>
      </c>
      <c r="E122">
        <v>0</v>
      </c>
      <c r="F122">
        <v>2.1644239999999999E-2</v>
      </c>
      <c r="H122">
        <v>119</v>
      </c>
      <c r="I122" t="s">
        <v>110</v>
      </c>
      <c r="J122">
        <v>-7.4414822000000005E-2</v>
      </c>
      <c r="K122">
        <v>1.4764199</v>
      </c>
      <c r="L122">
        <v>1.0321867</v>
      </c>
      <c r="M122">
        <v>26.524056909999999</v>
      </c>
      <c r="O122">
        <v>119</v>
      </c>
      <c r="P122" t="s">
        <v>144</v>
      </c>
      <c r="Q122">
        <v>-0.35393000000000002</v>
      </c>
      <c r="R122">
        <v>0.58320975200000003</v>
      </c>
      <c r="S122">
        <v>0.14338798</v>
      </c>
      <c r="T122">
        <v>24.34587557</v>
      </c>
    </row>
    <row r="123" spans="1:20" x14ac:dyDescent="0.2">
      <c r="A123">
        <v>123</v>
      </c>
      <c r="B123" t="s">
        <v>150</v>
      </c>
      <c r="C123">
        <v>1.0010015000000001</v>
      </c>
      <c r="D123">
        <v>-1.0010015000000001</v>
      </c>
      <c r="E123">
        <v>-7.1408340000000004E-3</v>
      </c>
      <c r="F123">
        <v>0.19470594999999999</v>
      </c>
      <c r="H123">
        <v>120</v>
      </c>
      <c r="I123" t="s">
        <v>150</v>
      </c>
      <c r="J123">
        <v>1.0010015029999999</v>
      </c>
      <c r="K123">
        <v>0</v>
      </c>
      <c r="L123">
        <v>1.0010015000000001</v>
      </c>
      <c r="M123">
        <v>2.6519379999999999E-2</v>
      </c>
      <c r="O123">
        <v>120</v>
      </c>
      <c r="P123" t="s">
        <v>96</v>
      </c>
      <c r="Q123">
        <v>0.67510789000000004</v>
      </c>
      <c r="R123">
        <v>-0.454547272</v>
      </c>
      <c r="S123">
        <v>1.5451289999999999E-2</v>
      </c>
      <c r="T123">
        <v>2.1187077400000001</v>
      </c>
    </row>
    <row r="124" spans="1:20" x14ac:dyDescent="0.2">
      <c r="A124">
        <v>124</v>
      </c>
      <c r="B124" t="s">
        <v>59</v>
      </c>
      <c r="C124">
        <v>0.14763677</v>
      </c>
      <c r="D124">
        <v>-0.90739289999999995</v>
      </c>
      <c r="E124">
        <v>-0.52867509899999998</v>
      </c>
      <c r="F124">
        <v>3.4334665900000001</v>
      </c>
      <c r="H124">
        <v>121</v>
      </c>
      <c r="I124" t="s">
        <v>148</v>
      </c>
      <c r="J124">
        <v>1.108616169</v>
      </c>
      <c r="K124">
        <v>0.13560269999999999</v>
      </c>
      <c r="L124">
        <v>0.94673459999999998</v>
      </c>
      <c r="M124">
        <v>26.970765870000001</v>
      </c>
      <c r="O124">
        <v>121</v>
      </c>
      <c r="P124" t="s">
        <v>62</v>
      </c>
      <c r="Q124">
        <v>0</v>
      </c>
      <c r="R124">
        <v>0</v>
      </c>
      <c r="S124">
        <v>0</v>
      </c>
      <c r="T124">
        <v>0</v>
      </c>
    </row>
    <row r="125" spans="1:20" x14ac:dyDescent="0.2">
      <c r="A125">
        <v>125</v>
      </c>
      <c r="B125" t="s">
        <v>151</v>
      </c>
      <c r="C125">
        <v>-0.65926105000000002</v>
      </c>
      <c r="D125">
        <v>-0.28049800000000003</v>
      </c>
      <c r="E125">
        <v>-0.71941512900000004</v>
      </c>
      <c r="F125">
        <v>2.0067590200000001</v>
      </c>
      <c r="H125">
        <v>122</v>
      </c>
      <c r="I125" t="s">
        <v>60</v>
      </c>
      <c r="J125">
        <v>-0.14490573000000001</v>
      </c>
      <c r="K125">
        <v>0.60044710000000001</v>
      </c>
      <c r="L125">
        <v>0.31899060000000001</v>
      </c>
      <c r="M125">
        <v>0.65632904999999997</v>
      </c>
      <c r="O125">
        <v>122</v>
      </c>
      <c r="P125" t="s">
        <v>123</v>
      </c>
      <c r="Q125">
        <v>9.7007949999999996E-2</v>
      </c>
      <c r="R125">
        <v>-0.52680476499999995</v>
      </c>
      <c r="S125">
        <v>-0.28784280000000001</v>
      </c>
      <c r="T125">
        <v>12.18927527</v>
      </c>
    </row>
    <row r="126" spans="1:20" x14ac:dyDescent="0.2">
      <c r="A126">
        <v>126</v>
      </c>
      <c r="B126" t="s">
        <v>61</v>
      </c>
      <c r="C126">
        <v>-1.0010015000000001</v>
      </c>
      <c r="D126">
        <v>-0.600804</v>
      </c>
      <c r="E126">
        <v>-0.825821735</v>
      </c>
      <c r="F126">
        <v>5.7496680000000001E-2</v>
      </c>
      <c r="H126">
        <v>123</v>
      </c>
      <c r="I126" t="s">
        <v>62</v>
      </c>
      <c r="J126">
        <v>0</v>
      </c>
      <c r="K126">
        <v>0</v>
      </c>
      <c r="L126">
        <v>0</v>
      </c>
      <c r="M126">
        <v>0</v>
      </c>
      <c r="O126">
        <v>123</v>
      </c>
      <c r="P126" t="s">
        <v>147</v>
      </c>
      <c r="Q126">
        <v>6.4293030000000001E-2</v>
      </c>
      <c r="R126">
        <v>-0.63575097300000005</v>
      </c>
      <c r="S126">
        <v>-0.38054343000000002</v>
      </c>
      <c r="T126">
        <v>24.629968850000001</v>
      </c>
    </row>
    <row r="127" spans="1:20" x14ac:dyDescent="0.2">
      <c r="A127">
        <v>127</v>
      </c>
      <c r="B127" t="s">
        <v>152</v>
      </c>
      <c r="C127">
        <v>-0.81488481000000001</v>
      </c>
      <c r="D127">
        <v>-1.0010015000000001</v>
      </c>
      <c r="E127">
        <v>-1.134502678</v>
      </c>
      <c r="F127">
        <v>0.24744426</v>
      </c>
      <c r="H127">
        <v>124</v>
      </c>
      <c r="I127" t="s">
        <v>61</v>
      </c>
      <c r="J127">
        <v>0</v>
      </c>
      <c r="K127">
        <v>0</v>
      </c>
      <c r="L127">
        <v>0</v>
      </c>
      <c r="M127">
        <v>0</v>
      </c>
      <c r="O127">
        <v>124</v>
      </c>
      <c r="P127" t="s">
        <v>122</v>
      </c>
      <c r="Q127">
        <v>-0.27926098999999999</v>
      </c>
      <c r="R127">
        <v>-0.31290121799999998</v>
      </c>
      <c r="S127">
        <v>-0.42725651999999997</v>
      </c>
      <c r="T127">
        <v>24.001526989999999</v>
      </c>
    </row>
    <row r="128" spans="1:20" x14ac:dyDescent="0.2">
      <c r="A128">
        <v>128</v>
      </c>
      <c r="B128" t="s">
        <v>153</v>
      </c>
      <c r="C128">
        <v>-0.68796886999999995</v>
      </c>
      <c r="D128">
        <v>-1.4638867</v>
      </c>
      <c r="E128">
        <v>-1.5775180040000001</v>
      </c>
      <c r="F128">
        <v>5.7253454399999999</v>
      </c>
      <c r="H128">
        <v>125</v>
      </c>
      <c r="I128" t="s">
        <v>63</v>
      </c>
      <c r="J128">
        <v>0</v>
      </c>
      <c r="K128">
        <v>0</v>
      </c>
      <c r="L128">
        <v>0</v>
      </c>
      <c r="M128">
        <v>0</v>
      </c>
      <c r="O128">
        <v>125</v>
      </c>
      <c r="P128" t="s">
        <v>113</v>
      </c>
      <c r="Q128">
        <v>-1.0202408199999999</v>
      </c>
      <c r="R128">
        <v>0.27901737199999999</v>
      </c>
      <c r="S128">
        <v>-0.51922310999999999</v>
      </c>
      <c r="T128">
        <v>24.75191753</v>
      </c>
    </row>
    <row r="129" spans="8:20" x14ac:dyDescent="0.2">
      <c r="H129">
        <v>126</v>
      </c>
      <c r="I129" t="s">
        <v>149</v>
      </c>
      <c r="J129">
        <v>0</v>
      </c>
      <c r="K129">
        <v>0</v>
      </c>
      <c r="L129">
        <v>0</v>
      </c>
      <c r="M129">
        <v>0</v>
      </c>
      <c r="O129">
        <v>126</v>
      </c>
      <c r="P129" t="s">
        <v>61</v>
      </c>
      <c r="Q129">
        <v>-0.62801351000000005</v>
      </c>
      <c r="R129">
        <v>-0.44325377500000002</v>
      </c>
      <c r="S129">
        <v>-0.72145574999999995</v>
      </c>
      <c r="T129">
        <v>0.27938707000000002</v>
      </c>
    </row>
    <row r="130" spans="8:20" x14ac:dyDescent="0.2">
      <c r="H130" t="s">
        <v>158</v>
      </c>
      <c r="O130">
        <v>127</v>
      </c>
      <c r="P130" t="s">
        <v>51</v>
      </c>
      <c r="Q130">
        <v>-0.70794307000000001</v>
      </c>
      <c r="R130">
        <v>-0.52339139300000004</v>
      </c>
      <c r="S130">
        <v>-0.96487966999999997</v>
      </c>
      <c r="T130">
        <v>7.8125267300000001</v>
      </c>
    </row>
    <row r="131" spans="8:20" x14ac:dyDescent="0.2">
      <c r="O131">
        <v>128</v>
      </c>
      <c r="P131" t="s">
        <v>49</v>
      </c>
      <c r="Q131">
        <v>0.75024992999999995</v>
      </c>
      <c r="R131">
        <v>-1.729060212</v>
      </c>
      <c r="S131">
        <v>-0.99712820000000002</v>
      </c>
      <c r="T131">
        <v>1.25275084</v>
      </c>
    </row>
    <row r="132" spans="8:20" x14ac:dyDescent="0.2">
      <c r="O132" t="s">
        <v>170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959-5DDE-9347-B900-18E091782ED8}">
  <dimension ref="A1:AD107"/>
  <sheetViews>
    <sheetView topLeftCell="C4" workbookViewId="0">
      <selection activeCell="L38" sqref="L38"/>
    </sheetView>
  </sheetViews>
  <sheetFormatPr baseColWidth="10" defaultRowHeight="16" x14ac:dyDescent="0.2"/>
  <cols>
    <col min="1" max="1" width="4.6640625" customWidth="1"/>
    <col min="9" max="9" width="5.5" customWidth="1"/>
    <col min="17" max="17" width="6.1640625" customWidth="1"/>
  </cols>
  <sheetData>
    <row r="1" spans="1:28" s="10" customFormat="1" x14ac:dyDescent="0.2">
      <c r="A1" s="9" t="s">
        <v>82</v>
      </c>
    </row>
    <row r="2" spans="1:28" x14ac:dyDescent="0.2">
      <c r="A2" s="3" t="s">
        <v>83</v>
      </c>
      <c r="I2" s="3" t="s">
        <v>84</v>
      </c>
      <c r="Q2" s="3" t="s">
        <v>85</v>
      </c>
      <c r="Z2" t="s">
        <v>64</v>
      </c>
      <c r="AA2" t="s">
        <v>84</v>
      </c>
      <c r="AB2" t="s">
        <v>85</v>
      </c>
    </row>
    <row r="3" spans="1:28" x14ac:dyDescent="0.2">
      <c r="A3" s="3" t="s">
        <v>65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I3" s="3" t="s">
        <v>65</v>
      </c>
      <c r="J3" s="3" t="s">
        <v>154</v>
      </c>
      <c r="K3" s="3" t="s">
        <v>155</v>
      </c>
      <c r="L3" s="3" t="s">
        <v>71</v>
      </c>
      <c r="M3" s="3" t="s">
        <v>72</v>
      </c>
      <c r="N3" s="3" t="s">
        <v>73</v>
      </c>
      <c r="O3" s="3" t="s">
        <v>74</v>
      </c>
      <c r="Q3" s="3"/>
      <c r="R3" s="3" t="s">
        <v>154</v>
      </c>
      <c r="S3" s="3" t="s">
        <v>155</v>
      </c>
      <c r="T3" s="3" t="s">
        <v>71</v>
      </c>
      <c r="U3" s="3" t="s">
        <v>72</v>
      </c>
      <c r="V3" s="3" t="s">
        <v>73</v>
      </c>
      <c r="W3" s="3" t="s">
        <v>74</v>
      </c>
      <c r="Y3" s="14" t="s">
        <v>0</v>
      </c>
      <c r="Z3" s="12">
        <f>MATCH($Y3,B$5:B$22,0)</f>
        <v>1</v>
      </c>
      <c r="AA3" s="12">
        <f>MATCH($Y3,J$5:J$23,0)</f>
        <v>1</v>
      </c>
      <c r="AB3" s="12">
        <f>MATCH($Y3,R$5:R$24,0)</f>
        <v>5</v>
      </c>
    </row>
    <row r="4" spans="1:28" x14ac:dyDescent="0.2">
      <c r="A4">
        <v>1</v>
      </c>
      <c r="B4" t="s">
        <v>79</v>
      </c>
      <c r="C4">
        <v>0.86888597999999995</v>
      </c>
      <c r="D4">
        <v>0.95</v>
      </c>
      <c r="E4">
        <v>0.82064019899999996</v>
      </c>
      <c r="F4">
        <v>0.91755430000000004</v>
      </c>
      <c r="G4">
        <v>0.86888597999999995</v>
      </c>
    </row>
    <row r="5" spans="1:28" x14ac:dyDescent="0.2">
      <c r="A5">
        <v>2</v>
      </c>
      <c r="B5" t="s">
        <v>0</v>
      </c>
      <c r="C5">
        <v>-0.86246042999999994</v>
      </c>
      <c r="D5">
        <v>0.95</v>
      </c>
      <c r="E5">
        <v>-0.92808257999999999</v>
      </c>
      <c r="F5">
        <v>-0.79774135999999995</v>
      </c>
      <c r="G5">
        <v>0.86246042999999994</v>
      </c>
      <c r="I5">
        <v>1</v>
      </c>
      <c r="J5" t="s">
        <v>0</v>
      </c>
      <c r="K5">
        <v>-0.664496525</v>
      </c>
      <c r="L5">
        <v>0.95</v>
      </c>
      <c r="M5">
        <v>-0.72381069099999995</v>
      </c>
      <c r="N5">
        <v>-0.60572782999999997</v>
      </c>
      <c r="O5">
        <v>0.664496525</v>
      </c>
      <c r="Q5">
        <v>1</v>
      </c>
      <c r="R5" t="s">
        <v>79</v>
      </c>
      <c r="S5">
        <v>2.26864014</v>
      </c>
      <c r="T5">
        <v>0.95</v>
      </c>
      <c r="U5">
        <v>2.1185945880000001</v>
      </c>
      <c r="V5">
        <v>2.4233373999999999</v>
      </c>
      <c r="W5">
        <v>2.26864014</v>
      </c>
    </row>
    <row r="6" spans="1:28" x14ac:dyDescent="0.2">
      <c r="A6">
        <v>3</v>
      </c>
      <c r="B6" t="s">
        <v>2</v>
      </c>
      <c r="C6">
        <v>0.53386745999999996</v>
      </c>
      <c r="D6">
        <v>0.95</v>
      </c>
      <c r="E6">
        <v>0.45926835999999999</v>
      </c>
      <c r="F6">
        <v>0.60963078000000004</v>
      </c>
      <c r="G6">
        <v>0.53386745999999996</v>
      </c>
      <c r="I6">
        <v>2</v>
      </c>
      <c r="J6" t="s">
        <v>79</v>
      </c>
      <c r="K6">
        <v>0.42560442900000001</v>
      </c>
      <c r="L6">
        <v>0.95</v>
      </c>
      <c r="M6">
        <v>0.38114464300000001</v>
      </c>
      <c r="N6">
        <v>0.47023809999999999</v>
      </c>
      <c r="O6">
        <v>0.42560442900000001</v>
      </c>
      <c r="Q6">
        <v>2</v>
      </c>
      <c r="R6" t="s">
        <v>171</v>
      </c>
      <c r="S6">
        <v>-1.5866792999999999</v>
      </c>
      <c r="T6">
        <v>0.95</v>
      </c>
      <c r="U6">
        <v>-1.764902653</v>
      </c>
      <c r="V6">
        <v>-1.41183313</v>
      </c>
      <c r="W6">
        <v>1.5866792999999999</v>
      </c>
    </row>
    <row r="7" spans="1:28" x14ac:dyDescent="0.2">
      <c r="A7">
        <v>4</v>
      </c>
      <c r="B7" t="s">
        <v>90</v>
      </c>
      <c r="C7">
        <v>0.52462525000000004</v>
      </c>
      <c r="D7">
        <v>0.95</v>
      </c>
      <c r="E7">
        <v>0.46594108299999998</v>
      </c>
      <c r="F7">
        <v>0.58390531999999995</v>
      </c>
      <c r="G7">
        <v>0.52462525000000004</v>
      </c>
      <c r="I7">
        <v>3</v>
      </c>
      <c r="J7" t="s">
        <v>12</v>
      </c>
      <c r="K7">
        <v>0.36664057100000003</v>
      </c>
      <c r="L7">
        <v>0.95</v>
      </c>
      <c r="M7">
        <v>0.31715533499999998</v>
      </c>
      <c r="N7">
        <v>0.41651569999999999</v>
      </c>
      <c r="O7">
        <v>0.36664057100000003</v>
      </c>
      <c r="Q7">
        <v>3</v>
      </c>
      <c r="R7" t="s">
        <v>172</v>
      </c>
      <c r="S7">
        <v>-1.0813452299999999</v>
      </c>
      <c r="T7">
        <v>0.95</v>
      </c>
      <c r="U7">
        <v>-1.269657128</v>
      </c>
      <c r="V7">
        <v>-0.89609574000000003</v>
      </c>
      <c r="W7">
        <v>1.0813452299999999</v>
      </c>
    </row>
    <row r="8" spans="1:28" x14ac:dyDescent="0.2">
      <c r="A8">
        <v>5</v>
      </c>
      <c r="B8" t="s">
        <v>1</v>
      </c>
      <c r="C8">
        <v>0.23248674</v>
      </c>
      <c r="D8">
        <v>0.95</v>
      </c>
      <c r="E8">
        <v>0.17799826599999999</v>
      </c>
      <c r="F8">
        <v>0.28736057999999998</v>
      </c>
      <c r="G8">
        <v>0.23248674</v>
      </c>
      <c r="I8">
        <v>4</v>
      </c>
      <c r="J8" t="s">
        <v>9</v>
      </c>
      <c r="K8">
        <v>-0.33593229800000002</v>
      </c>
      <c r="L8">
        <v>0.95</v>
      </c>
      <c r="M8">
        <v>-0.39984773899999998</v>
      </c>
      <c r="N8">
        <v>-0.27219142000000002</v>
      </c>
      <c r="O8">
        <v>0.33593229800000002</v>
      </c>
      <c r="Q8">
        <v>4</v>
      </c>
      <c r="R8" t="s">
        <v>2</v>
      </c>
      <c r="S8">
        <v>0.38880026000000001</v>
      </c>
      <c r="T8">
        <v>0.95</v>
      </c>
      <c r="U8">
        <v>0.31203657800000001</v>
      </c>
      <c r="V8">
        <v>0.46748933999999998</v>
      </c>
      <c r="W8">
        <v>0.38880026000000001</v>
      </c>
    </row>
    <row r="9" spans="1:28" x14ac:dyDescent="0.2">
      <c r="A9">
        <v>6</v>
      </c>
      <c r="B9" t="s">
        <v>3</v>
      </c>
      <c r="C9">
        <v>-0.18585541999999999</v>
      </c>
      <c r="D9">
        <v>0.95</v>
      </c>
      <c r="E9">
        <v>-0.232322793</v>
      </c>
      <c r="F9">
        <v>-0.13955600000000001</v>
      </c>
      <c r="G9">
        <v>0.18585541999999999</v>
      </c>
      <c r="I9">
        <v>5</v>
      </c>
      <c r="J9" t="s">
        <v>90</v>
      </c>
      <c r="K9">
        <v>0.32317706200000001</v>
      </c>
      <c r="L9">
        <v>0.95</v>
      </c>
      <c r="M9">
        <v>0.26834380600000002</v>
      </c>
      <c r="N9">
        <v>0.37824275000000002</v>
      </c>
      <c r="O9">
        <v>0.32317706200000001</v>
      </c>
      <c r="Q9">
        <v>5</v>
      </c>
      <c r="R9" t="s">
        <v>0</v>
      </c>
      <c r="S9">
        <v>-0.22488662000000001</v>
      </c>
      <c r="T9">
        <v>0.95</v>
      </c>
      <c r="U9">
        <v>-0.27392788699999998</v>
      </c>
      <c r="V9">
        <v>-0.17585179000000001</v>
      </c>
      <c r="W9">
        <v>0.22488662000000001</v>
      </c>
    </row>
    <row r="10" spans="1:28" x14ac:dyDescent="0.2">
      <c r="A10">
        <v>7</v>
      </c>
      <c r="B10" t="s">
        <v>12</v>
      </c>
      <c r="C10">
        <v>0.18568079000000001</v>
      </c>
      <c r="D10">
        <v>0.95</v>
      </c>
      <c r="E10">
        <v>0.13578806700000001</v>
      </c>
      <c r="F10">
        <v>0.23591500000000001</v>
      </c>
      <c r="G10">
        <v>0.18568079000000001</v>
      </c>
      <c r="I10">
        <v>6</v>
      </c>
      <c r="J10" t="s">
        <v>2</v>
      </c>
      <c r="K10">
        <v>0.23968716800000001</v>
      </c>
      <c r="L10">
        <v>0.95</v>
      </c>
      <c r="M10">
        <v>0.18877208500000001</v>
      </c>
      <c r="N10">
        <v>0.29201093</v>
      </c>
      <c r="O10">
        <v>0.23968716800000001</v>
      </c>
      <c r="Q10">
        <v>6</v>
      </c>
      <c r="R10" t="s">
        <v>4</v>
      </c>
      <c r="S10">
        <v>-0.21068930999999999</v>
      </c>
      <c r="T10">
        <v>0.95</v>
      </c>
      <c r="U10">
        <v>-0.26151371200000001</v>
      </c>
      <c r="V10">
        <v>-0.1599825</v>
      </c>
      <c r="W10">
        <v>0.21068930999999999</v>
      </c>
    </row>
    <row r="11" spans="1:28" x14ac:dyDescent="0.2">
      <c r="A11">
        <v>8</v>
      </c>
      <c r="B11" t="s">
        <v>19</v>
      </c>
      <c r="C11">
        <v>0.18206836000000001</v>
      </c>
      <c r="D11">
        <v>0.95</v>
      </c>
      <c r="E11">
        <v>0.122398795</v>
      </c>
      <c r="F11">
        <v>0.24325014</v>
      </c>
      <c r="G11">
        <v>0.18206836000000001</v>
      </c>
      <c r="I11">
        <v>7</v>
      </c>
      <c r="J11" t="s">
        <v>1</v>
      </c>
      <c r="K11">
        <v>0.23325423300000001</v>
      </c>
      <c r="L11">
        <v>0.95</v>
      </c>
      <c r="M11">
        <v>0.17313071099999999</v>
      </c>
      <c r="N11">
        <v>0.29381772</v>
      </c>
      <c r="O11">
        <v>0.23325423300000001</v>
      </c>
      <c r="Q11">
        <v>7</v>
      </c>
      <c r="R11" t="s">
        <v>3</v>
      </c>
      <c r="S11">
        <v>-0.19442996000000001</v>
      </c>
      <c r="T11">
        <v>0.95</v>
      </c>
      <c r="U11">
        <v>-0.24655210799999999</v>
      </c>
      <c r="V11">
        <v>-0.14237559999999999</v>
      </c>
      <c r="W11">
        <v>0.19442996000000001</v>
      </c>
    </row>
    <row r="12" spans="1:28" x14ac:dyDescent="0.2">
      <c r="A12">
        <v>9</v>
      </c>
      <c r="B12" t="s">
        <v>4</v>
      </c>
      <c r="C12">
        <v>-0.17194133</v>
      </c>
      <c r="D12">
        <v>0.95</v>
      </c>
      <c r="E12">
        <v>-0.223115122</v>
      </c>
      <c r="F12">
        <v>-0.12086069000000001</v>
      </c>
      <c r="G12">
        <v>0.17194133</v>
      </c>
      <c r="I12">
        <v>8</v>
      </c>
      <c r="J12" t="s">
        <v>7</v>
      </c>
      <c r="K12">
        <v>-0.19385516899999999</v>
      </c>
      <c r="L12">
        <v>0.95</v>
      </c>
      <c r="M12">
        <v>-0.25456373500000001</v>
      </c>
      <c r="N12">
        <v>-0.13327926000000001</v>
      </c>
      <c r="O12">
        <v>0.19385516899999999</v>
      </c>
      <c r="Q12">
        <v>8</v>
      </c>
      <c r="R12" t="s">
        <v>34</v>
      </c>
      <c r="S12">
        <v>0.17947598000000001</v>
      </c>
      <c r="T12">
        <v>0.95</v>
      </c>
      <c r="U12">
        <v>0.12281415800000001</v>
      </c>
      <c r="V12">
        <v>0.23683573999999999</v>
      </c>
      <c r="W12">
        <v>0.17947598000000001</v>
      </c>
    </row>
    <row r="13" spans="1:28" x14ac:dyDescent="0.2">
      <c r="A13">
        <v>10</v>
      </c>
      <c r="B13" t="s">
        <v>91</v>
      </c>
      <c r="C13">
        <v>-0.17159584999999999</v>
      </c>
      <c r="D13">
        <v>0.95</v>
      </c>
      <c r="E13">
        <v>-0.231215264</v>
      </c>
      <c r="F13">
        <v>-0.11307317</v>
      </c>
      <c r="G13">
        <v>0.17159584999999999</v>
      </c>
      <c r="I13">
        <v>9</v>
      </c>
      <c r="J13" t="s">
        <v>14</v>
      </c>
      <c r="K13">
        <v>-0.178013014</v>
      </c>
      <c r="L13">
        <v>0.95</v>
      </c>
      <c r="M13">
        <v>-0.239132557</v>
      </c>
      <c r="N13">
        <v>-0.11710295</v>
      </c>
      <c r="O13">
        <v>0.178013014</v>
      </c>
      <c r="Q13">
        <v>9</v>
      </c>
      <c r="R13" t="s">
        <v>5</v>
      </c>
      <c r="S13">
        <v>0.17731236</v>
      </c>
      <c r="T13">
        <v>0.95</v>
      </c>
      <c r="U13">
        <v>0.108364287</v>
      </c>
      <c r="V13">
        <v>0.24729196000000001</v>
      </c>
      <c r="W13">
        <v>0.17731236</v>
      </c>
    </row>
    <row r="14" spans="1:28" x14ac:dyDescent="0.2">
      <c r="A14">
        <v>11</v>
      </c>
      <c r="B14" t="s">
        <v>92</v>
      </c>
      <c r="C14">
        <v>-0.16454806999999999</v>
      </c>
      <c r="D14">
        <v>0.95</v>
      </c>
      <c r="E14">
        <v>-0.213348068</v>
      </c>
      <c r="F14">
        <v>-0.11627625</v>
      </c>
      <c r="G14">
        <v>0.16454806999999999</v>
      </c>
      <c r="I14">
        <v>10</v>
      </c>
      <c r="J14" t="s">
        <v>4</v>
      </c>
      <c r="K14">
        <v>-0.154734286</v>
      </c>
      <c r="L14">
        <v>0.95</v>
      </c>
      <c r="M14">
        <v>-0.20386235899999999</v>
      </c>
      <c r="N14">
        <v>-0.10569584</v>
      </c>
      <c r="O14">
        <v>0.154734286</v>
      </c>
      <c r="Q14">
        <v>10</v>
      </c>
      <c r="R14" t="s">
        <v>17</v>
      </c>
      <c r="S14">
        <v>0.15403372000000001</v>
      </c>
      <c r="T14">
        <v>0.95</v>
      </c>
      <c r="U14">
        <v>0.100488776</v>
      </c>
      <c r="V14">
        <v>0.20765749</v>
      </c>
      <c r="W14">
        <v>0.15403372000000001</v>
      </c>
    </row>
    <row r="15" spans="1:28" x14ac:dyDescent="0.2">
      <c r="A15">
        <v>12</v>
      </c>
      <c r="B15" t="s">
        <v>9</v>
      </c>
      <c r="C15">
        <v>-0.1516141</v>
      </c>
      <c r="D15">
        <v>0.95</v>
      </c>
      <c r="E15">
        <v>-0.214787491</v>
      </c>
      <c r="F15">
        <v>-8.8355470000000005E-2</v>
      </c>
      <c r="G15">
        <v>0.1516141</v>
      </c>
      <c r="I15">
        <v>11</v>
      </c>
      <c r="J15" t="s">
        <v>31</v>
      </c>
      <c r="K15">
        <v>-0.13747150299999999</v>
      </c>
      <c r="L15">
        <v>0.95</v>
      </c>
      <c r="M15">
        <v>-0.20186209299999999</v>
      </c>
      <c r="N15">
        <v>-7.3076240000000001E-2</v>
      </c>
      <c r="O15">
        <v>0.13747150299999999</v>
      </c>
      <c r="Q15">
        <v>11</v>
      </c>
      <c r="R15" t="s">
        <v>6</v>
      </c>
      <c r="S15">
        <v>-0.15169267</v>
      </c>
      <c r="T15">
        <v>0.95</v>
      </c>
      <c r="U15">
        <v>-0.22087404499999999</v>
      </c>
      <c r="V15">
        <v>-8.2131960000000004E-2</v>
      </c>
      <c r="W15">
        <v>0.15169267</v>
      </c>
    </row>
    <row r="16" spans="1:28" x14ac:dyDescent="0.2">
      <c r="A16">
        <v>13</v>
      </c>
      <c r="B16" t="s">
        <v>24</v>
      </c>
      <c r="C16">
        <v>0.12690209999999999</v>
      </c>
      <c r="D16">
        <v>0.95</v>
      </c>
      <c r="E16">
        <v>7.7040866E-2</v>
      </c>
      <c r="F16">
        <v>0.17725666000000001</v>
      </c>
      <c r="G16">
        <v>0.12690209999999999</v>
      </c>
      <c r="I16">
        <v>12</v>
      </c>
      <c r="J16" t="s">
        <v>5</v>
      </c>
      <c r="K16">
        <v>0.13408572499999999</v>
      </c>
      <c r="L16">
        <v>0.95</v>
      </c>
      <c r="M16">
        <v>8.2127020999999994E-2</v>
      </c>
      <c r="N16">
        <v>0.18652167</v>
      </c>
      <c r="O16">
        <v>0.13408572499999999</v>
      </c>
      <c r="Q16">
        <v>12</v>
      </c>
      <c r="R16" t="s">
        <v>28</v>
      </c>
      <c r="S16">
        <v>0.14658947</v>
      </c>
      <c r="T16">
        <v>0.95</v>
      </c>
      <c r="U16">
        <v>9.1687038999999998E-2</v>
      </c>
      <c r="V16">
        <v>0.20215279</v>
      </c>
      <c r="W16">
        <v>0.14658947</v>
      </c>
    </row>
    <row r="17" spans="1:24" x14ac:dyDescent="0.2">
      <c r="A17">
        <v>14</v>
      </c>
      <c r="B17" t="s">
        <v>26</v>
      </c>
      <c r="C17">
        <v>-0.10048789</v>
      </c>
      <c r="D17">
        <v>0.95</v>
      </c>
      <c r="E17">
        <v>-0.158472944</v>
      </c>
      <c r="F17">
        <v>-4.2556139999999999E-2</v>
      </c>
      <c r="G17">
        <v>0.10048789</v>
      </c>
      <c r="I17">
        <v>13</v>
      </c>
      <c r="J17" t="s">
        <v>3</v>
      </c>
      <c r="K17">
        <v>-0.13273396700000001</v>
      </c>
      <c r="L17">
        <v>0.95</v>
      </c>
      <c r="M17">
        <v>-0.18184699200000001</v>
      </c>
      <c r="N17">
        <v>-8.3978990000000003E-2</v>
      </c>
      <c r="O17">
        <v>0.13273396700000001</v>
      </c>
      <c r="Q17">
        <v>13</v>
      </c>
      <c r="R17" t="s">
        <v>91</v>
      </c>
      <c r="S17">
        <v>-0.14634398000000001</v>
      </c>
      <c r="T17">
        <v>0.95</v>
      </c>
      <c r="U17">
        <v>-0.21112777099999999</v>
      </c>
      <c r="V17">
        <v>-8.3342650000000004E-2</v>
      </c>
      <c r="W17">
        <v>0.14634398000000001</v>
      </c>
    </row>
    <row r="18" spans="1:24" x14ac:dyDescent="0.2">
      <c r="A18">
        <v>15</v>
      </c>
      <c r="B18" t="s">
        <v>5</v>
      </c>
      <c r="C18">
        <v>9.8381549999999998E-2</v>
      </c>
      <c r="D18">
        <v>0.95</v>
      </c>
      <c r="E18">
        <v>4.3033179999999997E-2</v>
      </c>
      <c r="F18">
        <v>0.15445932000000001</v>
      </c>
      <c r="G18">
        <v>9.8381549999999998E-2</v>
      </c>
      <c r="I18">
        <v>14</v>
      </c>
      <c r="J18" t="s">
        <v>28</v>
      </c>
      <c r="K18">
        <v>9.7026537999999996E-2</v>
      </c>
      <c r="L18">
        <v>0.95</v>
      </c>
      <c r="M18">
        <v>4.5960722000000002E-2</v>
      </c>
      <c r="N18">
        <v>0.14854397999999999</v>
      </c>
      <c r="O18">
        <v>9.7026537999999996E-2</v>
      </c>
      <c r="Q18">
        <v>14</v>
      </c>
      <c r="R18" t="s">
        <v>21</v>
      </c>
      <c r="S18">
        <v>0.13153354</v>
      </c>
      <c r="T18">
        <v>0.95</v>
      </c>
      <c r="U18">
        <v>7.1822987000000005E-2</v>
      </c>
      <c r="V18">
        <v>0.19172512999999999</v>
      </c>
      <c r="W18">
        <v>0.13153354</v>
      </c>
    </row>
    <row r="19" spans="1:24" x14ac:dyDescent="0.2">
      <c r="A19">
        <v>16</v>
      </c>
      <c r="B19" t="s">
        <v>21</v>
      </c>
      <c r="C19">
        <v>-6.7825759999999999E-2</v>
      </c>
      <c r="D19">
        <v>0.95</v>
      </c>
      <c r="E19">
        <v>-0.123613114</v>
      </c>
      <c r="F19">
        <v>-1.1928340000000001E-2</v>
      </c>
      <c r="G19">
        <v>6.7825759999999999E-2</v>
      </c>
      <c r="I19">
        <v>15</v>
      </c>
      <c r="J19" t="s">
        <v>40</v>
      </c>
      <c r="K19">
        <v>-9.5948540999999998E-2</v>
      </c>
      <c r="L19">
        <v>0.95</v>
      </c>
      <c r="M19">
        <v>-0.15057253800000001</v>
      </c>
      <c r="N19">
        <v>-4.1392030000000003E-2</v>
      </c>
      <c r="O19">
        <v>9.5948540999999998E-2</v>
      </c>
      <c r="Q19">
        <v>15</v>
      </c>
      <c r="R19" t="s">
        <v>7</v>
      </c>
      <c r="S19">
        <v>0.11722357</v>
      </c>
      <c r="T19">
        <v>0.95</v>
      </c>
      <c r="U19">
        <v>5.4447765000000002E-2</v>
      </c>
      <c r="V19">
        <v>0.18025632</v>
      </c>
      <c r="W19">
        <v>0.11722357</v>
      </c>
    </row>
    <row r="20" spans="1:24" x14ac:dyDescent="0.2">
      <c r="A20">
        <v>17</v>
      </c>
      <c r="B20" t="s">
        <v>7</v>
      </c>
      <c r="C20">
        <v>5.6535540000000002E-2</v>
      </c>
      <c r="D20">
        <v>0.95</v>
      </c>
      <c r="E20">
        <v>-3.635779E-3</v>
      </c>
      <c r="F20">
        <v>0.11685971000000001</v>
      </c>
      <c r="G20">
        <v>5.6535540000000002E-2</v>
      </c>
      <c r="I20">
        <v>16</v>
      </c>
      <c r="J20" t="s">
        <v>21</v>
      </c>
      <c r="K20">
        <v>-9.0888974999999997E-2</v>
      </c>
      <c r="L20">
        <v>0.95</v>
      </c>
      <c r="M20">
        <v>-0.14624023999999999</v>
      </c>
      <c r="N20">
        <v>-3.5570329999999997E-2</v>
      </c>
      <c r="O20">
        <v>9.0888974999999997E-2</v>
      </c>
      <c r="Q20" s="7">
        <v>16</v>
      </c>
      <c r="R20" s="7" t="s">
        <v>1</v>
      </c>
      <c r="S20" s="7">
        <v>0.10780852</v>
      </c>
      <c r="T20" s="7">
        <v>0.95</v>
      </c>
      <c r="U20" s="7">
        <v>4.4332309E-2</v>
      </c>
      <c r="V20" s="7">
        <v>0.17151385999999999</v>
      </c>
      <c r="W20" s="7">
        <v>0.10780852</v>
      </c>
    </row>
    <row r="21" spans="1:24" x14ac:dyDescent="0.2">
      <c r="A21" s="6">
        <v>18</v>
      </c>
      <c r="B21" s="6" t="s">
        <v>6</v>
      </c>
      <c r="C21" s="6">
        <v>5.2801349999999997E-2</v>
      </c>
      <c r="D21" s="6">
        <v>0.95</v>
      </c>
      <c r="E21" s="6">
        <v>-1.4010359E-2</v>
      </c>
      <c r="F21" s="6">
        <v>0.12001902</v>
      </c>
      <c r="G21" s="6">
        <v>5.2801349999999997E-2</v>
      </c>
      <c r="I21">
        <v>17</v>
      </c>
      <c r="J21" t="s">
        <v>13</v>
      </c>
      <c r="K21">
        <v>7.4724163999999996E-2</v>
      </c>
      <c r="L21">
        <v>0.95</v>
      </c>
      <c r="M21">
        <v>4.9502030000000002E-3</v>
      </c>
      <c r="N21">
        <v>0.14458161999999999</v>
      </c>
      <c r="O21">
        <v>7.4724163999999996E-2</v>
      </c>
      <c r="Q21" s="7">
        <v>17</v>
      </c>
      <c r="R21" s="7" t="s">
        <v>9</v>
      </c>
      <c r="S21" s="7">
        <v>-0.10222428</v>
      </c>
      <c r="T21" s="7">
        <v>0.95</v>
      </c>
      <c r="U21" s="7">
        <v>-0.17018185799999999</v>
      </c>
      <c r="V21" s="7">
        <v>-3.4036619999999997E-2</v>
      </c>
      <c r="W21" s="7">
        <v>0.10222428</v>
      </c>
    </row>
    <row r="22" spans="1:24" x14ac:dyDescent="0.2">
      <c r="A22" s="6">
        <v>19</v>
      </c>
      <c r="B22" s="6" t="s">
        <v>11</v>
      </c>
      <c r="C22" s="6">
        <v>-4.1916410000000001E-2</v>
      </c>
      <c r="D22" s="6">
        <v>0.95</v>
      </c>
      <c r="E22" s="6">
        <v>-9.8088902000000006E-2</v>
      </c>
      <c r="F22" s="6">
        <v>1.4354E-2</v>
      </c>
      <c r="G22" s="6">
        <v>4.1916410000000001E-2</v>
      </c>
      <c r="I22" s="6">
        <v>18</v>
      </c>
      <c r="J22" s="6" t="s">
        <v>10</v>
      </c>
      <c r="K22" s="6">
        <v>2.5921627999999999E-2</v>
      </c>
      <c r="L22" s="6">
        <v>0.95</v>
      </c>
      <c r="M22" s="6">
        <v>-2.2206753999999999E-2</v>
      </c>
      <c r="N22" s="6">
        <v>7.4199559999999998E-2</v>
      </c>
      <c r="O22" s="6">
        <v>2.5921627999999999E-2</v>
      </c>
      <c r="Q22" s="7">
        <v>18</v>
      </c>
      <c r="R22" s="7" t="s">
        <v>35</v>
      </c>
      <c r="S22" s="7">
        <v>7.5809860000000007E-2</v>
      </c>
      <c r="T22" s="7">
        <v>0.95</v>
      </c>
      <c r="U22" s="7">
        <v>1.8381873999999999E-2</v>
      </c>
      <c r="V22" s="7">
        <v>0.13347914</v>
      </c>
      <c r="W22" s="7">
        <v>7.5809860000000007E-2</v>
      </c>
    </row>
    <row r="23" spans="1:24" x14ac:dyDescent="0.2">
      <c r="A23" s="6">
        <v>20</v>
      </c>
      <c r="B23" s="6" t="s">
        <v>10</v>
      </c>
      <c r="C23" s="6">
        <v>-3.6886540000000002E-2</v>
      </c>
      <c r="D23" s="6">
        <v>0.95</v>
      </c>
      <c r="E23" s="6">
        <v>-8.7418626999999999E-2</v>
      </c>
      <c r="F23" s="6">
        <v>1.3854699999999999E-2</v>
      </c>
      <c r="G23" s="6">
        <v>3.6886540000000002E-2</v>
      </c>
      <c r="I23" s="6">
        <v>19</v>
      </c>
      <c r="J23" s="6" t="s">
        <v>17</v>
      </c>
      <c r="K23" s="6">
        <v>2.4710736000000001E-2</v>
      </c>
      <c r="L23" s="6">
        <v>0.95</v>
      </c>
      <c r="M23" s="6">
        <v>-2.4649263000000001E-2</v>
      </c>
      <c r="N23" s="6">
        <v>7.4083189999999993E-2</v>
      </c>
      <c r="O23" s="6">
        <v>2.4710736000000001E-2</v>
      </c>
      <c r="Q23" s="7">
        <v>19</v>
      </c>
      <c r="R23" s="7" t="s">
        <v>24</v>
      </c>
      <c r="S23" s="7">
        <v>5.6775680000000002E-2</v>
      </c>
      <c r="T23" s="7">
        <v>0.95</v>
      </c>
      <c r="U23" s="7">
        <v>4.785358E-3</v>
      </c>
      <c r="V23" s="7">
        <v>0.10927524</v>
      </c>
      <c r="W23" s="7">
        <v>5.6775680000000002E-2</v>
      </c>
      <c r="X23" s="7"/>
    </row>
    <row r="24" spans="1:24" x14ac:dyDescent="0.2">
      <c r="A24" s="6">
        <v>21</v>
      </c>
      <c r="B24" s="6" t="s">
        <v>8</v>
      </c>
      <c r="C24" s="6">
        <v>-2.9103259999999999E-2</v>
      </c>
      <c r="D24" s="6">
        <v>0.95</v>
      </c>
      <c r="E24" s="6">
        <v>-8.4362685000000007E-2</v>
      </c>
      <c r="F24" s="6">
        <v>2.6283620000000001E-2</v>
      </c>
      <c r="G24" s="6">
        <v>2.9103259999999999E-2</v>
      </c>
      <c r="I24" s="6">
        <v>20</v>
      </c>
      <c r="J24" s="6" t="s">
        <v>24</v>
      </c>
      <c r="K24" s="6">
        <v>4.5754719999999997E-3</v>
      </c>
      <c r="L24" s="6">
        <v>0.95</v>
      </c>
      <c r="M24" s="6">
        <v>-4.2376243000000001E-2</v>
      </c>
      <c r="N24" s="6">
        <v>5.1559899999999999E-2</v>
      </c>
      <c r="O24" s="6">
        <v>4.5754719999999997E-3</v>
      </c>
      <c r="Q24" s="6">
        <v>20</v>
      </c>
      <c r="R24" s="6" t="s">
        <v>10</v>
      </c>
      <c r="S24" s="6">
        <v>-4.4286859999999997E-2</v>
      </c>
      <c r="T24" s="6">
        <v>0.95</v>
      </c>
      <c r="U24" s="6">
        <v>-9.9065738E-2</v>
      </c>
      <c r="V24" s="6">
        <v>1.080006E-2</v>
      </c>
      <c r="W24" s="6">
        <v>4.4286859999999997E-2</v>
      </c>
      <c r="X24" s="7"/>
    </row>
    <row r="25" spans="1:24" s="7" customFormat="1" x14ac:dyDescent="0.2">
      <c r="Q25" s="6">
        <v>21</v>
      </c>
      <c r="R25" s="6" t="s">
        <v>14</v>
      </c>
      <c r="S25" s="6">
        <v>-4.276141E-2</v>
      </c>
      <c r="T25" s="6">
        <v>0.95</v>
      </c>
      <c r="U25" s="6">
        <v>-0.10073979600000001</v>
      </c>
      <c r="V25" s="6">
        <v>1.540365E-2</v>
      </c>
      <c r="W25" s="6">
        <v>4.276141E-2</v>
      </c>
    </row>
    <row r="26" spans="1:24" s="7" customFormat="1" x14ac:dyDescent="0.2">
      <c r="Q26" s="6">
        <v>22</v>
      </c>
      <c r="R26" s="6" t="s">
        <v>26</v>
      </c>
      <c r="S26" s="6">
        <v>2.2328270000000001E-2</v>
      </c>
      <c r="T26" s="6">
        <v>0.95</v>
      </c>
      <c r="U26" s="6">
        <v>-3.9082171999999998E-2</v>
      </c>
      <c r="V26" s="6">
        <v>8.3872730000000006E-2</v>
      </c>
      <c r="W26" s="6">
        <v>2.2328270000000001E-2</v>
      </c>
    </row>
    <row r="27" spans="1:24" x14ac:dyDescent="0.2"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3" t="s">
        <v>75</v>
      </c>
      <c r="B28" s="5">
        <v>0.75129999999999997</v>
      </c>
      <c r="C28" s="4">
        <v>0.71579999999999999</v>
      </c>
      <c r="D28" s="4">
        <f>B28-C28</f>
        <v>3.5499999999999976E-2</v>
      </c>
      <c r="I28" s="3" t="s">
        <v>75</v>
      </c>
      <c r="J28" s="5">
        <v>0.73240000000000005</v>
      </c>
      <c r="K28" s="4">
        <v>0.70820000000000005</v>
      </c>
      <c r="L28" s="4">
        <f>J28-K28</f>
        <v>2.4199999999999999E-2</v>
      </c>
      <c r="O28" s="18"/>
      <c r="P28" s="18"/>
      <c r="Q28" s="15" t="s">
        <v>75</v>
      </c>
      <c r="R28" s="16">
        <v>0.73660000000000003</v>
      </c>
      <c r="S28" s="7"/>
      <c r="T28" s="7"/>
      <c r="U28" s="7"/>
      <c r="V28" s="7"/>
      <c r="W28" s="7"/>
      <c r="X28" s="7"/>
    </row>
    <row r="29" spans="1:24" x14ac:dyDescent="0.2">
      <c r="A29" s="3"/>
      <c r="B29" s="5"/>
      <c r="I29" s="3"/>
      <c r="J29" s="5"/>
      <c r="Q29" s="18"/>
      <c r="R29" s="5"/>
    </row>
    <row r="30" spans="1:24" x14ac:dyDescent="0.2">
      <c r="A30" s="3"/>
      <c r="B30" s="5"/>
      <c r="I30" s="3"/>
      <c r="J30" s="5"/>
      <c r="Q30" s="3"/>
      <c r="R30" s="5"/>
      <c r="S30" s="4"/>
      <c r="T30" s="4"/>
    </row>
    <row r="32" spans="1:24" s="10" customFormat="1" x14ac:dyDescent="0.2">
      <c r="A32" s="9" t="s">
        <v>81</v>
      </c>
    </row>
    <row r="33" spans="1:28" x14ac:dyDescent="0.2">
      <c r="A33" s="3" t="s">
        <v>83</v>
      </c>
      <c r="I33" s="3" t="s">
        <v>84</v>
      </c>
      <c r="Q33" s="3" t="s">
        <v>85</v>
      </c>
      <c r="Y33" s="7"/>
      <c r="Z33" s="7" t="s">
        <v>64</v>
      </c>
      <c r="AA33" s="7" t="s">
        <v>84</v>
      </c>
      <c r="AB33" s="7" t="s">
        <v>85</v>
      </c>
    </row>
    <row r="34" spans="1:28" x14ac:dyDescent="0.2">
      <c r="A34" s="3"/>
      <c r="B34" s="3" t="s">
        <v>154</v>
      </c>
      <c r="C34" s="3" t="s">
        <v>155</v>
      </c>
      <c r="D34" s="3" t="s">
        <v>71</v>
      </c>
      <c r="E34" s="3" t="s">
        <v>72</v>
      </c>
      <c r="F34" s="3" t="s">
        <v>73</v>
      </c>
      <c r="G34" s="3" t="s">
        <v>74</v>
      </c>
      <c r="I34" s="3"/>
      <c r="J34" s="3" t="s">
        <v>154</v>
      </c>
      <c r="K34" s="3" t="s">
        <v>155</v>
      </c>
      <c r="L34" s="3" t="s">
        <v>71</v>
      </c>
      <c r="M34" s="3" t="s">
        <v>72</v>
      </c>
      <c r="N34" s="3" t="s">
        <v>73</v>
      </c>
      <c r="O34" s="3" t="s">
        <v>74</v>
      </c>
      <c r="Q34" s="3"/>
      <c r="R34" s="3" t="s">
        <v>154</v>
      </c>
      <c r="S34" s="3" t="s">
        <v>155</v>
      </c>
      <c r="T34" s="3" t="s">
        <v>71</v>
      </c>
      <c r="U34" s="3" t="s">
        <v>72</v>
      </c>
      <c r="V34" s="3" t="s">
        <v>73</v>
      </c>
      <c r="W34" s="3" t="s">
        <v>74</v>
      </c>
      <c r="Y34" s="12" t="s">
        <v>0</v>
      </c>
      <c r="Z34" s="12">
        <f>MATCH($Y34,B$36:B$52,0)</f>
        <v>2</v>
      </c>
      <c r="AA34" s="12">
        <f>MATCH($Y34,J$36:J$52,0)</f>
        <v>1</v>
      </c>
      <c r="AB34" s="12">
        <f>MATCH($Y34,R$36:R$50,0)</f>
        <v>3</v>
      </c>
    </row>
    <row r="35" spans="1:28" x14ac:dyDescent="0.2">
      <c r="Y35" s="12" t="s">
        <v>2</v>
      </c>
      <c r="Z35" s="12">
        <f t="shared" ref="Z35:Z56" si="0">MATCH($Y35,B$36:B$52,0)</f>
        <v>3</v>
      </c>
      <c r="AA35" s="12">
        <f t="shared" ref="AA35:AA56" si="1">MATCH($Y35,J$36:J$52,0)</f>
        <v>7</v>
      </c>
      <c r="AB35" s="12">
        <f t="shared" ref="AB35:AB56" si="2">MATCH($Y35,R$36:R$50,0)</f>
        <v>2</v>
      </c>
    </row>
    <row r="36" spans="1:28" x14ac:dyDescent="0.2">
      <c r="A36">
        <v>1</v>
      </c>
      <c r="B36" t="s">
        <v>79</v>
      </c>
      <c r="C36">
        <v>0.86819811000000002</v>
      </c>
      <c r="D36">
        <v>0.95</v>
      </c>
      <c r="E36">
        <v>0.81997655300000005</v>
      </c>
      <c r="F36">
        <v>0.91684136000000005</v>
      </c>
      <c r="G36">
        <v>0.86819811000000002</v>
      </c>
      <c r="I36">
        <v>1</v>
      </c>
      <c r="J36" t="s">
        <v>0</v>
      </c>
      <c r="K36">
        <v>-0.65928799999999999</v>
      </c>
      <c r="L36">
        <v>0.95</v>
      </c>
      <c r="M36">
        <v>-0.71789475899999999</v>
      </c>
      <c r="N36">
        <v>-0.60121471999999998</v>
      </c>
      <c r="O36">
        <v>0.65928799999999999</v>
      </c>
      <c r="Q36">
        <v>1</v>
      </c>
      <c r="R36" t="s">
        <v>79</v>
      </c>
      <c r="S36">
        <v>1.1521744599999999</v>
      </c>
      <c r="T36">
        <v>0.95</v>
      </c>
      <c r="U36">
        <v>1.1022107080000001</v>
      </c>
      <c r="V36">
        <v>1.2027416179999999</v>
      </c>
      <c r="W36">
        <v>1.1521744599999999</v>
      </c>
      <c r="X36" s="3"/>
      <c r="Y36" s="20" t="s">
        <v>90</v>
      </c>
      <c r="Z36" s="12">
        <f t="shared" si="0"/>
        <v>4</v>
      </c>
      <c r="AA36" s="12">
        <f t="shared" si="1"/>
        <v>5</v>
      </c>
      <c r="AB36" s="12">
        <f t="shared" si="2"/>
        <v>9</v>
      </c>
    </row>
    <row r="37" spans="1:28" x14ac:dyDescent="0.2">
      <c r="A37">
        <v>2</v>
      </c>
      <c r="B37" t="s">
        <v>0</v>
      </c>
      <c r="C37">
        <v>-0.85421981000000002</v>
      </c>
      <c r="D37">
        <v>0.95</v>
      </c>
      <c r="E37">
        <v>-0.91925046099999996</v>
      </c>
      <c r="F37">
        <v>-0.7900855</v>
      </c>
      <c r="G37">
        <v>0.85421981000000002</v>
      </c>
      <c r="I37">
        <v>2</v>
      </c>
      <c r="J37" t="s">
        <v>79</v>
      </c>
      <c r="K37">
        <v>0.42990927000000001</v>
      </c>
      <c r="L37">
        <v>0.95</v>
      </c>
      <c r="M37">
        <v>0.38549650800000002</v>
      </c>
      <c r="N37">
        <v>0.47449784</v>
      </c>
      <c r="O37">
        <v>0.42990927000000001</v>
      </c>
      <c r="Q37">
        <v>2</v>
      </c>
      <c r="R37" t="s">
        <v>2</v>
      </c>
      <c r="S37">
        <v>0.44655841000000002</v>
      </c>
      <c r="T37">
        <v>0.95</v>
      </c>
      <c r="U37">
        <v>0.36863040899999999</v>
      </c>
      <c r="V37">
        <v>0.52652969999999999</v>
      </c>
      <c r="W37">
        <v>0.44655841000000002</v>
      </c>
      <c r="Y37" s="12" t="s">
        <v>1</v>
      </c>
      <c r="Z37" s="12">
        <f t="shared" si="0"/>
        <v>5</v>
      </c>
      <c r="AA37" s="12">
        <f t="shared" si="1"/>
        <v>6</v>
      </c>
      <c r="AB37" s="12">
        <f t="shared" si="2"/>
        <v>6</v>
      </c>
    </row>
    <row r="38" spans="1:28" x14ac:dyDescent="0.2">
      <c r="A38">
        <v>3</v>
      </c>
      <c r="B38" t="s">
        <v>2</v>
      </c>
      <c r="C38">
        <v>0.56512832999999996</v>
      </c>
      <c r="D38">
        <v>0.95</v>
      </c>
      <c r="E38">
        <v>0.49771116199999998</v>
      </c>
      <c r="F38">
        <v>0.63392987999999995</v>
      </c>
      <c r="G38">
        <v>0.56512832999999996</v>
      </c>
      <c r="I38">
        <v>3</v>
      </c>
      <c r="J38" t="s">
        <v>12</v>
      </c>
      <c r="K38">
        <v>0.36581511</v>
      </c>
      <c r="L38">
        <v>0.95</v>
      </c>
      <c r="M38">
        <v>0.31642430300000002</v>
      </c>
      <c r="N38">
        <v>0.4155954</v>
      </c>
      <c r="O38">
        <v>0.36581511</v>
      </c>
      <c r="Q38">
        <v>3</v>
      </c>
      <c r="R38" t="s">
        <v>0</v>
      </c>
      <c r="S38">
        <v>-0.31581683999999999</v>
      </c>
      <c r="T38">
        <v>0.95</v>
      </c>
      <c r="U38">
        <v>-0.37726309200000002</v>
      </c>
      <c r="V38">
        <v>-0.25434408800000002</v>
      </c>
      <c r="W38">
        <v>0.31581683999999999</v>
      </c>
      <c r="Y38" s="12" t="s">
        <v>3</v>
      </c>
      <c r="Z38" s="12">
        <f t="shared" si="0"/>
        <v>6</v>
      </c>
      <c r="AA38" s="12">
        <f t="shared" si="1"/>
        <v>12</v>
      </c>
      <c r="AB38" s="12">
        <f t="shared" si="2"/>
        <v>10</v>
      </c>
    </row>
    <row r="39" spans="1:28" x14ac:dyDescent="0.2">
      <c r="A39" s="3">
        <v>4</v>
      </c>
      <c r="B39" s="3" t="s">
        <v>90</v>
      </c>
      <c r="C39" s="3">
        <v>0.52142467000000003</v>
      </c>
      <c r="D39" s="3">
        <v>0.95</v>
      </c>
      <c r="E39" s="3">
        <v>0.46284298800000001</v>
      </c>
      <c r="F39" s="3">
        <v>0.58060407999999997</v>
      </c>
      <c r="G39" s="3">
        <v>0.52142467000000003</v>
      </c>
      <c r="I39">
        <v>4</v>
      </c>
      <c r="J39" t="s">
        <v>9</v>
      </c>
      <c r="K39">
        <v>-0.33420737</v>
      </c>
      <c r="L39">
        <v>0.95</v>
      </c>
      <c r="M39">
        <v>-0.39435112700000002</v>
      </c>
      <c r="N39">
        <v>-0.27423518000000002</v>
      </c>
      <c r="O39">
        <v>0.33420737</v>
      </c>
      <c r="Q39">
        <v>4</v>
      </c>
      <c r="R39" t="s">
        <v>4</v>
      </c>
      <c r="S39">
        <v>-0.27788376999999997</v>
      </c>
      <c r="T39">
        <v>0.95</v>
      </c>
      <c r="U39">
        <v>-0.32704831699999998</v>
      </c>
      <c r="V39">
        <v>-0.22888952500000001</v>
      </c>
      <c r="W39">
        <v>0.27788376999999997</v>
      </c>
      <c r="Y39" s="7" t="s">
        <v>12</v>
      </c>
      <c r="Z39" s="7">
        <f t="shared" si="0"/>
        <v>7</v>
      </c>
      <c r="AA39" s="7">
        <f t="shared" si="1"/>
        <v>3</v>
      </c>
      <c r="AB39" s="7" t="e">
        <f t="shared" si="2"/>
        <v>#N/A</v>
      </c>
    </row>
    <row r="40" spans="1:28" x14ac:dyDescent="0.2">
      <c r="A40">
        <v>5</v>
      </c>
      <c r="B40" t="s">
        <v>1</v>
      </c>
      <c r="C40">
        <v>0.23383080000000001</v>
      </c>
      <c r="D40">
        <v>0.95</v>
      </c>
      <c r="E40">
        <v>0.17942834399999999</v>
      </c>
      <c r="F40">
        <v>0.28861787</v>
      </c>
      <c r="G40">
        <v>0.23383080000000001</v>
      </c>
      <c r="I40" s="3">
        <v>5</v>
      </c>
      <c r="J40" s="3" t="s">
        <v>90</v>
      </c>
      <c r="K40" s="3">
        <v>0.31998982999999998</v>
      </c>
      <c r="L40" s="3">
        <v>0.95</v>
      </c>
      <c r="M40" s="3">
        <v>0.26532076999999998</v>
      </c>
      <c r="N40" s="3">
        <v>0.37488184000000002</v>
      </c>
      <c r="O40" s="3">
        <v>0.31998982999999998</v>
      </c>
      <c r="Q40">
        <v>5</v>
      </c>
      <c r="R40" t="s">
        <v>5</v>
      </c>
      <c r="S40">
        <v>0.26932344000000003</v>
      </c>
      <c r="T40">
        <v>0.95</v>
      </c>
      <c r="U40">
        <v>0.20629362900000001</v>
      </c>
      <c r="V40">
        <v>0.333398688</v>
      </c>
      <c r="W40">
        <v>0.26932344000000003</v>
      </c>
      <c r="Y40" s="12" t="s">
        <v>4</v>
      </c>
      <c r="Z40" s="12">
        <f t="shared" si="0"/>
        <v>8</v>
      </c>
      <c r="AA40" s="12">
        <f t="shared" si="1"/>
        <v>10</v>
      </c>
      <c r="AB40" s="12">
        <f t="shared" si="2"/>
        <v>4</v>
      </c>
    </row>
    <row r="41" spans="1:28" x14ac:dyDescent="0.2">
      <c r="A41">
        <v>6</v>
      </c>
      <c r="B41" t="s">
        <v>3</v>
      </c>
      <c r="C41">
        <v>-0.19464607</v>
      </c>
      <c r="D41">
        <v>0.95</v>
      </c>
      <c r="E41">
        <v>-0.240291055</v>
      </c>
      <c r="F41">
        <v>-0.14916937</v>
      </c>
      <c r="G41">
        <v>0.19464607</v>
      </c>
      <c r="I41">
        <v>6</v>
      </c>
      <c r="J41" t="s">
        <v>1</v>
      </c>
      <c r="K41">
        <v>0.24379207</v>
      </c>
      <c r="L41">
        <v>0.95</v>
      </c>
      <c r="M41">
        <v>0.185226693</v>
      </c>
      <c r="N41">
        <v>0.30281056000000001</v>
      </c>
      <c r="O41">
        <v>0.24379207</v>
      </c>
      <c r="Q41">
        <v>6</v>
      </c>
      <c r="R41" t="s">
        <v>1</v>
      </c>
      <c r="S41">
        <v>0.18234038</v>
      </c>
      <c r="T41">
        <v>0.95</v>
      </c>
      <c r="U41">
        <v>0.11970223000000001</v>
      </c>
      <c r="V41">
        <v>0.24525919099999999</v>
      </c>
      <c r="W41">
        <v>0.18234038</v>
      </c>
      <c r="Y41" s="15" t="s">
        <v>91</v>
      </c>
      <c r="Z41" s="7">
        <f t="shared" si="0"/>
        <v>9</v>
      </c>
      <c r="AA41" s="7" t="e">
        <f t="shared" si="1"/>
        <v>#N/A</v>
      </c>
      <c r="AB41" s="7">
        <f t="shared" si="2"/>
        <v>8</v>
      </c>
    </row>
    <row r="42" spans="1:28" x14ac:dyDescent="0.2">
      <c r="A42">
        <v>7</v>
      </c>
      <c r="B42" t="s">
        <v>12</v>
      </c>
      <c r="C42">
        <v>0.18629509</v>
      </c>
      <c r="D42">
        <v>0.95</v>
      </c>
      <c r="E42">
        <v>0.136964013</v>
      </c>
      <c r="F42">
        <v>0.23597635</v>
      </c>
      <c r="G42">
        <v>0.18629509</v>
      </c>
      <c r="I42">
        <v>7</v>
      </c>
      <c r="J42" t="s">
        <v>2</v>
      </c>
      <c r="K42">
        <v>0.23739715</v>
      </c>
      <c r="L42">
        <v>0.95</v>
      </c>
      <c r="M42">
        <v>0.18658786099999999</v>
      </c>
      <c r="N42">
        <v>0.28962075999999998</v>
      </c>
      <c r="O42">
        <v>0.23739715</v>
      </c>
      <c r="Q42">
        <v>7</v>
      </c>
      <c r="R42" t="s">
        <v>34</v>
      </c>
      <c r="S42">
        <v>0.1658684</v>
      </c>
      <c r="T42">
        <v>0.95</v>
      </c>
      <c r="U42">
        <v>0.10910985500000001</v>
      </c>
      <c r="V42">
        <v>0.22332776300000001</v>
      </c>
      <c r="W42">
        <v>0.1658684</v>
      </c>
      <c r="Y42" s="7" t="s">
        <v>19</v>
      </c>
      <c r="Z42" s="7">
        <f t="shared" si="0"/>
        <v>10</v>
      </c>
      <c r="AA42" s="7" t="e">
        <f t="shared" si="1"/>
        <v>#N/A</v>
      </c>
      <c r="AB42" s="7" t="e">
        <f t="shared" si="2"/>
        <v>#N/A</v>
      </c>
    </row>
    <row r="43" spans="1:28" x14ac:dyDescent="0.2">
      <c r="A43">
        <v>8</v>
      </c>
      <c r="B43" t="s">
        <v>4</v>
      </c>
      <c r="C43">
        <v>-0.17584104</v>
      </c>
      <c r="D43">
        <v>0.95</v>
      </c>
      <c r="E43">
        <v>-0.226114541</v>
      </c>
      <c r="F43">
        <v>-0.12567924</v>
      </c>
      <c r="G43">
        <v>0.17584104</v>
      </c>
      <c r="I43">
        <v>8</v>
      </c>
      <c r="J43" t="s">
        <v>7</v>
      </c>
      <c r="K43">
        <v>-0.19875422000000001</v>
      </c>
      <c r="L43">
        <v>0.95</v>
      </c>
      <c r="M43">
        <v>-0.258069512</v>
      </c>
      <c r="N43">
        <v>-0.13957435000000001</v>
      </c>
      <c r="O43">
        <v>0.19875422000000001</v>
      </c>
      <c r="Q43">
        <v>8</v>
      </c>
      <c r="R43" t="s">
        <v>91</v>
      </c>
      <c r="S43">
        <v>-0.16447042000000001</v>
      </c>
      <c r="T43">
        <v>0.95</v>
      </c>
      <c r="U43">
        <v>-0.23075918400000001</v>
      </c>
      <c r="V43">
        <v>-0.100042461</v>
      </c>
      <c r="W43">
        <v>0.16447042000000001</v>
      </c>
      <c r="Y43" s="15" t="s">
        <v>92</v>
      </c>
      <c r="Z43" s="7">
        <f t="shared" si="0"/>
        <v>11</v>
      </c>
      <c r="AA43" s="7" t="e">
        <f t="shared" si="1"/>
        <v>#N/A</v>
      </c>
      <c r="AB43" s="7" t="e">
        <f t="shared" si="2"/>
        <v>#N/A</v>
      </c>
    </row>
    <row r="44" spans="1:28" x14ac:dyDescent="0.2">
      <c r="A44" s="3">
        <v>9</v>
      </c>
      <c r="B44" s="3" t="s">
        <v>91</v>
      </c>
      <c r="C44" s="3">
        <v>-0.17234592000000001</v>
      </c>
      <c r="D44" s="3">
        <v>0.95</v>
      </c>
      <c r="E44" s="3">
        <v>-0.23192243900000001</v>
      </c>
      <c r="F44" s="3">
        <v>-0.11387385</v>
      </c>
      <c r="G44" s="3">
        <v>0.17234592000000001</v>
      </c>
      <c r="I44">
        <v>9</v>
      </c>
      <c r="J44" t="s">
        <v>14</v>
      </c>
      <c r="K44">
        <v>-0.17288606000000001</v>
      </c>
      <c r="L44">
        <v>0.95</v>
      </c>
      <c r="M44">
        <v>-0.23351087000000001</v>
      </c>
      <c r="N44">
        <v>-0.11245690999999999</v>
      </c>
      <c r="O44">
        <v>0.17288606000000001</v>
      </c>
      <c r="Q44">
        <v>9</v>
      </c>
      <c r="R44" t="s">
        <v>90</v>
      </c>
      <c r="S44">
        <v>0.15584627000000001</v>
      </c>
      <c r="T44">
        <v>0.95</v>
      </c>
      <c r="U44">
        <v>9.7016159000000005E-2</v>
      </c>
      <c r="V44">
        <v>0.214370897</v>
      </c>
      <c r="W44">
        <v>0.15584627000000001</v>
      </c>
      <c r="Y44" s="12" t="s">
        <v>9</v>
      </c>
      <c r="Z44" s="12">
        <f t="shared" si="0"/>
        <v>12</v>
      </c>
      <c r="AA44" s="12">
        <f t="shared" si="1"/>
        <v>4</v>
      </c>
      <c r="AB44" s="12">
        <f t="shared" si="2"/>
        <v>12</v>
      </c>
    </row>
    <row r="45" spans="1:28" x14ac:dyDescent="0.2">
      <c r="A45">
        <v>10</v>
      </c>
      <c r="B45" t="s">
        <v>19</v>
      </c>
      <c r="C45">
        <v>0.16673205999999999</v>
      </c>
      <c r="D45">
        <v>0.95</v>
      </c>
      <c r="E45">
        <v>0.11289128700000001</v>
      </c>
      <c r="F45">
        <v>0.22205008000000001</v>
      </c>
      <c r="G45">
        <v>0.16673205999999999</v>
      </c>
      <c r="I45">
        <v>10</v>
      </c>
      <c r="J45" t="s">
        <v>4</v>
      </c>
      <c r="K45">
        <v>-0.15619074999999999</v>
      </c>
      <c r="L45">
        <v>0.95</v>
      </c>
      <c r="M45">
        <v>-0.20505598899999999</v>
      </c>
      <c r="N45">
        <v>-0.10741794</v>
      </c>
      <c r="O45">
        <v>0.15619074999999999</v>
      </c>
      <c r="Q45">
        <v>10</v>
      </c>
      <c r="R45" t="s">
        <v>3</v>
      </c>
      <c r="S45">
        <v>-0.14529659</v>
      </c>
      <c r="T45">
        <v>0.95</v>
      </c>
      <c r="U45">
        <v>-0.196123614</v>
      </c>
      <c r="V45">
        <v>-9.4451610000000005E-2</v>
      </c>
      <c r="W45">
        <v>0.14529659</v>
      </c>
      <c r="Y45" s="7" t="s">
        <v>24</v>
      </c>
      <c r="Z45" s="7">
        <f t="shared" si="0"/>
        <v>13</v>
      </c>
      <c r="AA45" s="7" t="e">
        <f t="shared" si="1"/>
        <v>#N/A</v>
      </c>
      <c r="AB45" s="7" t="e">
        <f t="shared" si="2"/>
        <v>#N/A</v>
      </c>
    </row>
    <row r="46" spans="1:28" x14ac:dyDescent="0.2">
      <c r="A46" s="3">
        <v>11</v>
      </c>
      <c r="B46" s="3" t="s">
        <v>92</v>
      </c>
      <c r="C46" s="3">
        <v>-0.1654127</v>
      </c>
      <c r="D46" s="3">
        <v>0.95</v>
      </c>
      <c r="E46" s="3">
        <v>-0.21415100000000001</v>
      </c>
      <c r="F46" s="3">
        <v>-0.11720893</v>
      </c>
      <c r="G46" s="3">
        <v>0.1654127</v>
      </c>
      <c r="I46">
        <v>11</v>
      </c>
      <c r="J46" t="s">
        <v>5</v>
      </c>
      <c r="K46">
        <v>0.13840864</v>
      </c>
      <c r="L46">
        <v>0.95</v>
      </c>
      <c r="M46">
        <v>8.7209683999999996E-2</v>
      </c>
      <c r="N46">
        <v>0.19010647999999999</v>
      </c>
      <c r="O46">
        <v>0.13840864</v>
      </c>
      <c r="Q46">
        <v>11</v>
      </c>
      <c r="R46" t="s">
        <v>21</v>
      </c>
      <c r="S46">
        <v>0.14233109999999999</v>
      </c>
      <c r="T46">
        <v>0.95</v>
      </c>
      <c r="U46">
        <v>8.5108441000000007E-2</v>
      </c>
      <c r="V46">
        <v>0.200029436</v>
      </c>
      <c r="W46">
        <v>0.14233109999999999</v>
      </c>
      <c r="Y46" s="7" t="s">
        <v>26</v>
      </c>
      <c r="Z46" s="7">
        <f t="shared" si="0"/>
        <v>14</v>
      </c>
      <c r="AA46" s="7" t="e">
        <f t="shared" si="1"/>
        <v>#N/A</v>
      </c>
      <c r="AB46" s="7" t="e">
        <f t="shared" si="2"/>
        <v>#N/A</v>
      </c>
    </row>
    <row r="47" spans="1:28" x14ac:dyDescent="0.2">
      <c r="A47">
        <v>12</v>
      </c>
      <c r="B47" t="s">
        <v>9</v>
      </c>
      <c r="C47">
        <v>-0.13515399</v>
      </c>
      <c r="D47">
        <v>0.95</v>
      </c>
      <c r="E47">
        <v>-0.19334553700000001</v>
      </c>
      <c r="F47">
        <v>-7.6880740000000003E-2</v>
      </c>
      <c r="G47">
        <v>0.13515399</v>
      </c>
      <c r="I47">
        <v>12</v>
      </c>
      <c r="J47" t="s">
        <v>3</v>
      </c>
      <c r="K47">
        <v>-0.1341908</v>
      </c>
      <c r="L47">
        <v>0.95</v>
      </c>
      <c r="M47">
        <v>-0.18292473400000001</v>
      </c>
      <c r="N47">
        <v>-8.5826089999999994E-2</v>
      </c>
      <c r="O47">
        <v>0.1341908</v>
      </c>
      <c r="Q47">
        <v>12</v>
      </c>
      <c r="R47" t="s">
        <v>9</v>
      </c>
      <c r="S47">
        <v>-0.13501759999999999</v>
      </c>
      <c r="T47">
        <v>0.95</v>
      </c>
      <c r="U47">
        <v>-0.199233147</v>
      </c>
      <c r="V47">
        <v>-7.0611315999999993E-2</v>
      </c>
      <c r="W47">
        <v>0.13501759999999999</v>
      </c>
      <c r="Y47" s="12" t="s">
        <v>5</v>
      </c>
      <c r="Z47" s="12">
        <f t="shared" si="0"/>
        <v>15</v>
      </c>
      <c r="AA47" s="12">
        <f t="shared" si="1"/>
        <v>11</v>
      </c>
      <c r="AB47" s="12">
        <f t="shared" si="2"/>
        <v>5</v>
      </c>
    </row>
    <row r="48" spans="1:28" x14ac:dyDescent="0.2">
      <c r="A48">
        <v>13</v>
      </c>
      <c r="B48" t="s">
        <v>24</v>
      </c>
      <c r="C48">
        <v>0.12380371</v>
      </c>
      <c r="D48">
        <v>0.95</v>
      </c>
      <c r="E48">
        <v>7.4177618000000001E-2</v>
      </c>
      <c r="F48">
        <v>0.17392056</v>
      </c>
      <c r="G48">
        <v>0.12380371</v>
      </c>
      <c r="I48">
        <v>13</v>
      </c>
      <c r="J48" t="s">
        <v>31</v>
      </c>
      <c r="K48">
        <v>-0.12374454</v>
      </c>
      <c r="L48">
        <v>0.95</v>
      </c>
      <c r="M48">
        <v>-0.187360838</v>
      </c>
      <c r="N48">
        <v>-6.0104419999999999E-2</v>
      </c>
      <c r="O48">
        <v>0.12374454</v>
      </c>
      <c r="Q48">
        <v>13</v>
      </c>
      <c r="R48" t="s">
        <v>14</v>
      </c>
      <c r="S48">
        <v>-0.10082902000000001</v>
      </c>
      <c r="T48">
        <v>0.95</v>
      </c>
      <c r="U48">
        <v>-0.15580759499999999</v>
      </c>
      <c r="V48">
        <v>-4.5677569000000001E-2</v>
      </c>
      <c r="W48">
        <v>0.10082902000000001</v>
      </c>
      <c r="Y48" s="12" t="s">
        <v>21</v>
      </c>
      <c r="Z48" s="12">
        <f t="shared" si="0"/>
        <v>16</v>
      </c>
      <c r="AA48" s="12">
        <f t="shared" si="1"/>
        <v>14</v>
      </c>
      <c r="AB48" s="12">
        <f t="shared" si="2"/>
        <v>11</v>
      </c>
    </row>
    <row r="49" spans="1:30" x14ac:dyDescent="0.2">
      <c r="A49">
        <v>14</v>
      </c>
      <c r="B49" t="s">
        <v>26</v>
      </c>
      <c r="C49">
        <v>-0.10533155</v>
      </c>
      <c r="D49">
        <v>0.95</v>
      </c>
      <c r="E49">
        <v>-0.16112299999999999</v>
      </c>
      <c r="F49">
        <v>-4.9600829999999999E-2</v>
      </c>
      <c r="G49">
        <v>0.10533155</v>
      </c>
      <c r="I49">
        <v>14</v>
      </c>
      <c r="J49" t="s">
        <v>21</v>
      </c>
      <c r="K49">
        <v>-0.10009817999999999</v>
      </c>
      <c r="L49">
        <v>0.95</v>
      </c>
      <c r="M49">
        <v>-0.155032331</v>
      </c>
      <c r="N49">
        <v>-4.5204550000000003E-2</v>
      </c>
      <c r="O49">
        <v>0.10009817999999999</v>
      </c>
      <c r="Q49">
        <v>14</v>
      </c>
      <c r="R49" t="s">
        <v>28</v>
      </c>
      <c r="S49">
        <v>9.8555900000000002E-2</v>
      </c>
      <c r="T49">
        <v>0.95</v>
      </c>
      <c r="U49">
        <v>4.4234992000000001E-2</v>
      </c>
      <c r="V49">
        <v>0.153525412</v>
      </c>
      <c r="W49">
        <v>9.8555900000000002E-2</v>
      </c>
      <c r="Y49" s="12" t="s">
        <v>7</v>
      </c>
      <c r="Z49" s="12">
        <f t="shared" si="0"/>
        <v>17</v>
      </c>
      <c r="AA49" s="12">
        <f t="shared" si="1"/>
        <v>8</v>
      </c>
      <c r="AB49" s="12">
        <f t="shared" si="2"/>
        <v>15</v>
      </c>
    </row>
    <row r="50" spans="1:30" x14ac:dyDescent="0.2">
      <c r="A50">
        <v>15</v>
      </c>
      <c r="B50" t="s">
        <v>5</v>
      </c>
      <c r="C50">
        <v>9.5738699999999996E-2</v>
      </c>
      <c r="D50">
        <v>0.95</v>
      </c>
      <c r="E50">
        <v>4.1440294000000003E-2</v>
      </c>
      <c r="F50">
        <v>0.15075470999999999</v>
      </c>
      <c r="G50">
        <v>9.5738699999999996E-2</v>
      </c>
      <c r="I50">
        <v>15</v>
      </c>
      <c r="J50" t="s">
        <v>28</v>
      </c>
      <c r="K50">
        <v>9.0031219999999995E-2</v>
      </c>
      <c r="L50">
        <v>0.95</v>
      </c>
      <c r="M50">
        <v>3.9214236E-2</v>
      </c>
      <c r="N50">
        <v>0.14129148999999999</v>
      </c>
      <c r="O50">
        <v>9.0031219999999995E-2</v>
      </c>
      <c r="Q50">
        <v>15</v>
      </c>
      <c r="R50" t="s">
        <v>7</v>
      </c>
      <c r="S50">
        <v>7.9544770000000001E-2</v>
      </c>
      <c r="T50">
        <v>0.95</v>
      </c>
      <c r="U50">
        <v>1.8694740000000001E-2</v>
      </c>
      <c r="V50">
        <v>0.14061813000000001</v>
      </c>
      <c r="W50">
        <v>7.9544770000000001E-2</v>
      </c>
      <c r="Y50" s="7" t="s">
        <v>14</v>
      </c>
      <c r="Z50" s="7" t="e">
        <f t="shared" si="0"/>
        <v>#N/A</v>
      </c>
      <c r="AA50" s="7">
        <f t="shared" si="1"/>
        <v>9</v>
      </c>
      <c r="AB50" s="7">
        <f t="shared" si="2"/>
        <v>13</v>
      </c>
    </row>
    <row r="51" spans="1:30" x14ac:dyDescent="0.2">
      <c r="A51">
        <v>16</v>
      </c>
      <c r="B51" t="s">
        <v>21</v>
      </c>
      <c r="C51">
        <v>-7.5860559999999994E-2</v>
      </c>
      <c r="D51">
        <v>0.95</v>
      </c>
      <c r="E51">
        <v>-0.12987955100000001</v>
      </c>
      <c r="F51">
        <v>-2.1746600000000001E-2</v>
      </c>
      <c r="G51">
        <v>7.5860559999999994E-2</v>
      </c>
      <c r="I51">
        <v>16</v>
      </c>
      <c r="J51" t="s">
        <v>40</v>
      </c>
      <c r="K51">
        <v>-8.1974530000000004E-2</v>
      </c>
      <c r="L51">
        <v>0.95</v>
      </c>
      <c r="M51">
        <v>-0.135916965</v>
      </c>
      <c r="N51">
        <v>-2.8083919999999998E-2</v>
      </c>
      <c r="O51">
        <v>8.1974530000000004E-2</v>
      </c>
      <c r="Q51">
        <v>16</v>
      </c>
      <c r="R51" t="s">
        <v>6</v>
      </c>
      <c r="S51">
        <v>-7.7637070000000002E-2</v>
      </c>
      <c r="T51">
        <v>0.95</v>
      </c>
      <c r="U51">
        <v>-0.140454579</v>
      </c>
      <c r="V51">
        <v>-1.4415575999999999E-2</v>
      </c>
      <c r="W51">
        <v>7.7637070000000002E-2</v>
      </c>
      <c r="Y51" s="7" t="s">
        <v>31</v>
      </c>
      <c r="Z51" s="7" t="e">
        <f t="shared" si="0"/>
        <v>#N/A</v>
      </c>
      <c r="AA51" s="7">
        <f t="shared" si="1"/>
        <v>13</v>
      </c>
      <c r="AB51" s="7" t="e">
        <f t="shared" si="2"/>
        <v>#N/A</v>
      </c>
    </row>
    <row r="52" spans="1:30" x14ac:dyDescent="0.2">
      <c r="A52">
        <v>17</v>
      </c>
      <c r="B52" t="s">
        <v>7</v>
      </c>
      <c r="C52">
        <v>5.6351169999999999E-2</v>
      </c>
      <c r="D52">
        <v>0.95</v>
      </c>
      <c r="E52">
        <v>1.4571429999999999E-3</v>
      </c>
      <c r="F52">
        <v>0.11139549</v>
      </c>
      <c r="G52">
        <v>5.6351169999999999E-2</v>
      </c>
      <c r="I52">
        <v>17</v>
      </c>
      <c r="J52" t="s">
        <v>13</v>
      </c>
      <c r="K52">
        <v>6.7812590000000006E-2</v>
      </c>
      <c r="L52">
        <v>0.95</v>
      </c>
      <c r="M52">
        <v>-1.7153240000000001E-3</v>
      </c>
      <c r="N52">
        <v>0.13741992</v>
      </c>
      <c r="O52">
        <v>6.7812590000000006E-2</v>
      </c>
      <c r="Q52">
        <v>17</v>
      </c>
      <c r="R52" t="s">
        <v>35</v>
      </c>
      <c r="S52">
        <v>7.6486949999999998E-2</v>
      </c>
      <c r="T52">
        <v>0.95</v>
      </c>
      <c r="U52">
        <v>2.0389601E-2</v>
      </c>
      <c r="V52">
        <v>0.13282347899999999</v>
      </c>
      <c r="W52">
        <v>7.6486949999999998E-2</v>
      </c>
      <c r="Y52" s="7" t="s">
        <v>28</v>
      </c>
      <c r="Z52" s="7" t="e">
        <f t="shared" si="0"/>
        <v>#N/A</v>
      </c>
      <c r="AA52" s="7">
        <f t="shared" si="1"/>
        <v>15</v>
      </c>
      <c r="AB52" s="7">
        <f t="shared" si="2"/>
        <v>14</v>
      </c>
    </row>
    <row r="53" spans="1:30" x14ac:dyDescent="0.2">
      <c r="Q53">
        <v>18</v>
      </c>
      <c r="R53" t="s">
        <v>26</v>
      </c>
      <c r="S53">
        <v>-6.8364279999999999E-2</v>
      </c>
      <c r="T53">
        <v>0.95</v>
      </c>
      <c r="U53">
        <v>-0.127555689</v>
      </c>
      <c r="V53">
        <v>-9.1035109999999999E-3</v>
      </c>
      <c r="W53">
        <v>6.8364279999999999E-2</v>
      </c>
      <c r="Y53" s="7" t="s">
        <v>40</v>
      </c>
      <c r="Z53" s="7" t="e">
        <f t="shared" si="0"/>
        <v>#N/A</v>
      </c>
      <c r="AA53" s="7">
        <f t="shared" si="1"/>
        <v>16</v>
      </c>
      <c r="AB53" s="7" t="e">
        <f t="shared" si="2"/>
        <v>#N/A</v>
      </c>
    </row>
    <row r="54" spans="1:30" x14ac:dyDescent="0.2">
      <c r="A54" s="3" t="s">
        <v>75</v>
      </c>
      <c r="B54" s="5">
        <v>0.75080000000000002</v>
      </c>
      <c r="I54" s="3" t="s">
        <v>75</v>
      </c>
      <c r="J54" s="5">
        <v>0.73199999999999998</v>
      </c>
      <c r="Q54" s="18">
        <v>19</v>
      </c>
      <c r="R54" s="19" t="s">
        <v>17</v>
      </c>
      <c r="S54">
        <v>5.5274459999999997E-2</v>
      </c>
      <c r="T54">
        <v>0.95</v>
      </c>
      <c r="U54">
        <v>1.903804E-3</v>
      </c>
      <c r="V54">
        <v>0.108651619</v>
      </c>
      <c r="W54">
        <v>5.5274459999999997E-2</v>
      </c>
      <c r="Y54" s="7" t="s">
        <v>13</v>
      </c>
      <c r="Z54" s="7" t="e">
        <f t="shared" si="0"/>
        <v>#N/A</v>
      </c>
      <c r="AA54" s="7">
        <f t="shared" si="1"/>
        <v>17</v>
      </c>
      <c r="AB54" s="7" t="e">
        <f t="shared" si="2"/>
        <v>#N/A</v>
      </c>
    </row>
    <row r="55" spans="1:30" x14ac:dyDescent="0.2">
      <c r="Y55" s="7" t="s">
        <v>34</v>
      </c>
      <c r="Z55" s="7" t="e">
        <f t="shared" si="0"/>
        <v>#N/A</v>
      </c>
      <c r="AA55" s="7" t="e">
        <f t="shared" si="1"/>
        <v>#N/A</v>
      </c>
      <c r="AB55" s="7">
        <f t="shared" si="2"/>
        <v>7</v>
      </c>
    </row>
    <row r="56" spans="1:30" x14ac:dyDescent="0.2">
      <c r="Q56" s="3" t="s">
        <v>75</v>
      </c>
      <c r="R56" s="5">
        <v>0.7016</v>
      </c>
      <c r="Y56" s="7" t="s">
        <v>6</v>
      </c>
      <c r="Z56" s="7" t="e">
        <f t="shared" si="0"/>
        <v>#N/A</v>
      </c>
      <c r="AA56" s="7" t="e">
        <f t="shared" si="1"/>
        <v>#N/A</v>
      </c>
      <c r="AB56" s="7" t="e">
        <f t="shared" si="2"/>
        <v>#N/A</v>
      </c>
    </row>
    <row r="58" spans="1:30" x14ac:dyDescent="0.2">
      <c r="A58" s="21" t="s">
        <v>87</v>
      </c>
      <c r="B58" s="21"/>
      <c r="C58" s="21"/>
      <c r="D58" s="21"/>
      <c r="E58" s="21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x14ac:dyDescent="0.2">
      <c r="A59" s="24" t="s">
        <v>83</v>
      </c>
      <c r="B59" s="22"/>
      <c r="C59" s="22"/>
      <c r="D59" s="22"/>
      <c r="E59" s="22"/>
      <c r="F59" s="22"/>
      <c r="G59" s="22"/>
      <c r="H59" s="22"/>
      <c r="I59" s="24" t="s">
        <v>84</v>
      </c>
      <c r="J59" s="24"/>
      <c r="K59" s="22"/>
      <c r="L59" s="22"/>
      <c r="M59" s="22"/>
      <c r="N59" s="22"/>
      <c r="O59" s="22"/>
      <c r="P59" s="22"/>
      <c r="Q59" s="24" t="s">
        <v>85</v>
      </c>
      <c r="R59" s="24"/>
      <c r="S59" s="22"/>
      <c r="T59" s="22"/>
      <c r="U59" s="22"/>
      <c r="V59" s="22"/>
      <c r="W59" s="22"/>
      <c r="X59" s="22"/>
      <c r="Y59" s="22"/>
      <c r="Z59" s="22" t="s">
        <v>64</v>
      </c>
      <c r="AA59" s="22" t="s">
        <v>84</v>
      </c>
      <c r="AB59" s="22" t="s">
        <v>85</v>
      </c>
      <c r="AC59" s="22" t="s">
        <v>88</v>
      </c>
      <c r="AD59" s="22" t="s">
        <v>76</v>
      </c>
    </row>
    <row r="60" spans="1:30" s="7" customFormat="1" x14ac:dyDescent="0.2">
      <c r="A60" s="25" t="s">
        <v>164</v>
      </c>
      <c r="B60" s="25"/>
      <c r="C60" s="25"/>
      <c r="D60" s="25"/>
      <c r="E60" s="25"/>
      <c r="F60" s="26"/>
      <c r="G60" s="26"/>
      <c r="H60" s="26"/>
      <c r="I60" s="25" t="s">
        <v>164</v>
      </c>
      <c r="J60" s="25"/>
      <c r="K60" s="26"/>
      <c r="L60" s="26"/>
      <c r="M60" s="26"/>
      <c r="N60" s="26"/>
      <c r="O60" s="26"/>
      <c r="P60" s="26"/>
      <c r="Q60" s="25" t="s">
        <v>164</v>
      </c>
      <c r="R60" s="25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s="7" customFormat="1" x14ac:dyDescent="0.2">
      <c r="A61" s="25" t="s">
        <v>75</v>
      </c>
      <c r="B61" s="27">
        <f>'OLD State GLM'!B93</f>
        <v>0.70030000000000003</v>
      </c>
      <c r="C61" s="25"/>
      <c r="D61" s="25"/>
      <c r="E61" s="25"/>
      <c r="F61" s="26"/>
      <c r="G61" s="26"/>
      <c r="H61" s="26"/>
      <c r="I61" s="25" t="s">
        <v>75</v>
      </c>
      <c r="J61" s="27">
        <f>'OLD State GLM'!J93</f>
        <v>0.67130000000000001</v>
      </c>
      <c r="K61" s="26"/>
      <c r="L61" s="26"/>
      <c r="M61" s="26"/>
      <c r="N61" s="26"/>
      <c r="O61" s="26"/>
      <c r="P61" s="26"/>
      <c r="Q61" s="25" t="s">
        <v>75</v>
      </c>
      <c r="R61" s="27">
        <f>'OLD State GLM'!R93</f>
        <v>0.67559999999999998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s="7" customFormat="1" x14ac:dyDescent="0.2">
      <c r="A62" s="25"/>
      <c r="B62" s="25"/>
      <c r="C62" s="25"/>
      <c r="D62" s="25"/>
      <c r="E62" s="25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x14ac:dyDescent="0.2">
      <c r="B63" t="s">
        <v>154</v>
      </c>
      <c r="C63" t="s">
        <v>155</v>
      </c>
      <c r="D63" t="s">
        <v>71</v>
      </c>
      <c r="E63" t="s">
        <v>72</v>
      </c>
      <c r="F63" t="s">
        <v>73</v>
      </c>
      <c r="G63" t="s">
        <v>74</v>
      </c>
      <c r="J63" t="s">
        <v>154</v>
      </c>
      <c r="K63" t="s">
        <v>155</v>
      </c>
      <c r="L63" t="s">
        <v>71</v>
      </c>
      <c r="M63" t="s">
        <v>72</v>
      </c>
      <c r="N63" t="s">
        <v>73</v>
      </c>
      <c r="O63" t="s">
        <v>74</v>
      </c>
      <c r="R63" t="s">
        <v>154</v>
      </c>
      <c r="S63" t="s">
        <v>155</v>
      </c>
      <c r="T63" t="s">
        <v>71</v>
      </c>
      <c r="U63" t="s">
        <v>72</v>
      </c>
      <c r="V63" t="s">
        <v>73</v>
      </c>
      <c r="W63" t="s">
        <v>74</v>
      </c>
    </row>
    <row r="65" spans="1:23" x14ac:dyDescent="0.2">
      <c r="A65">
        <v>1</v>
      </c>
      <c r="B65" t="s">
        <v>0</v>
      </c>
      <c r="C65">
        <v>-0.907111</v>
      </c>
      <c r="D65">
        <v>0.95</v>
      </c>
      <c r="E65">
        <v>-0.97099135999999997</v>
      </c>
      <c r="F65">
        <v>-0.84416690999999999</v>
      </c>
      <c r="G65">
        <v>0.907111</v>
      </c>
      <c r="I65">
        <v>1</v>
      </c>
      <c r="J65" t="s">
        <v>0</v>
      </c>
      <c r="K65">
        <v>-0.62092259999999999</v>
      </c>
      <c r="L65">
        <v>0.95</v>
      </c>
      <c r="M65">
        <v>-0.67676996</v>
      </c>
      <c r="N65">
        <v>-0.56557869000000005</v>
      </c>
      <c r="O65">
        <v>0.62092259999999999</v>
      </c>
      <c r="Q65">
        <v>1</v>
      </c>
      <c r="R65" t="s">
        <v>79</v>
      </c>
      <c r="S65">
        <v>1.1313846000000001</v>
      </c>
      <c r="T65">
        <v>0.95</v>
      </c>
      <c r="U65">
        <v>1.0823901</v>
      </c>
      <c r="V65">
        <v>1.1809327000000001</v>
      </c>
      <c r="W65">
        <v>1.1313846000000001</v>
      </c>
    </row>
    <row r="66" spans="1:23" x14ac:dyDescent="0.2">
      <c r="A66">
        <v>2</v>
      </c>
      <c r="B66" t="s">
        <v>79</v>
      </c>
      <c r="C66">
        <v>0.84099230000000003</v>
      </c>
      <c r="D66">
        <v>0.95</v>
      </c>
      <c r="E66">
        <v>0.79381621000000002</v>
      </c>
      <c r="F66">
        <v>0.88854551000000004</v>
      </c>
      <c r="G66">
        <v>0.84099230000000003</v>
      </c>
      <c r="I66">
        <v>2</v>
      </c>
      <c r="J66" t="s">
        <v>79</v>
      </c>
      <c r="K66">
        <v>0.40012500000000001</v>
      </c>
      <c r="L66">
        <v>0.95</v>
      </c>
      <c r="M66">
        <v>0.35742295000000002</v>
      </c>
      <c r="N66">
        <v>0.44296956999999998</v>
      </c>
      <c r="O66">
        <v>0.40012500000000001</v>
      </c>
      <c r="Q66">
        <v>2</v>
      </c>
      <c r="R66" t="s">
        <v>2</v>
      </c>
      <c r="S66">
        <v>0.35981869999999999</v>
      </c>
      <c r="T66">
        <v>0.95</v>
      </c>
      <c r="U66">
        <v>0.29456130000000003</v>
      </c>
      <c r="V66">
        <v>0.426844</v>
      </c>
      <c r="W66">
        <v>0.35981869999999999</v>
      </c>
    </row>
    <row r="67" spans="1:23" x14ac:dyDescent="0.2">
      <c r="A67">
        <v>3</v>
      </c>
      <c r="B67" t="s">
        <v>90</v>
      </c>
      <c r="C67">
        <v>0.54291840000000002</v>
      </c>
      <c r="D67">
        <v>0.95</v>
      </c>
      <c r="E67">
        <v>0.48496230000000001</v>
      </c>
      <c r="F67">
        <v>0.60146524000000001</v>
      </c>
      <c r="G67">
        <v>0.54291840000000002</v>
      </c>
      <c r="I67">
        <v>3</v>
      </c>
      <c r="J67" t="s">
        <v>9</v>
      </c>
      <c r="K67">
        <v>-0.34284589999999998</v>
      </c>
      <c r="L67">
        <v>0.95</v>
      </c>
      <c r="M67">
        <v>-0.392621</v>
      </c>
      <c r="N67">
        <v>-0.29326015</v>
      </c>
      <c r="O67">
        <v>0.34284589999999998</v>
      </c>
      <c r="Q67">
        <v>3</v>
      </c>
      <c r="R67" t="s">
        <v>0</v>
      </c>
      <c r="S67">
        <v>-0.27592280000000002</v>
      </c>
      <c r="T67">
        <v>0.95</v>
      </c>
      <c r="U67">
        <v>-0.33425949999999999</v>
      </c>
      <c r="V67">
        <v>-0.21747250000000001</v>
      </c>
      <c r="W67">
        <v>0.27592280000000002</v>
      </c>
    </row>
    <row r="68" spans="1:23" x14ac:dyDescent="0.2">
      <c r="A68">
        <v>4</v>
      </c>
      <c r="B68" t="s">
        <v>2</v>
      </c>
      <c r="C68">
        <v>0.471028</v>
      </c>
      <c r="D68">
        <v>0.95</v>
      </c>
      <c r="E68">
        <v>0.41149902999999999</v>
      </c>
      <c r="F68">
        <v>0.53179423000000003</v>
      </c>
      <c r="G68">
        <v>0.471028</v>
      </c>
      <c r="I68">
        <v>4</v>
      </c>
      <c r="J68" t="s">
        <v>90</v>
      </c>
      <c r="K68">
        <v>0.31076399999999998</v>
      </c>
      <c r="L68">
        <v>0.95</v>
      </c>
      <c r="M68">
        <v>0.25793758999999999</v>
      </c>
      <c r="N68">
        <v>0.36384685999999999</v>
      </c>
      <c r="O68">
        <v>0.31076399999999998</v>
      </c>
      <c r="Q68">
        <v>4</v>
      </c>
      <c r="R68" t="s">
        <v>1</v>
      </c>
      <c r="S68">
        <v>0.27403509999999998</v>
      </c>
      <c r="T68">
        <v>0.95</v>
      </c>
      <c r="U68">
        <v>0.22044349999999999</v>
      </c>
      <c r="V68">
        <v>0.32801259999999999</v>
      </c>
      <c r="W68">
        <v>0.27403509999999998</v>
      </c>
    </row>
    <row r="69" spans="1:23" x14ac:dyDescent="0.2">
      <c r="A69">
        <v>5</v>
      </c>
      <c r="B69" t="s">
        <v>1</v>
      </c>
      <c r="C69">
        <v>0.20219280000000001</v>
      </c>
      <c r="D69">
        <v>0.95</v>
      </c>
      <c r="E69">
        <v>0.15121678</v>
      </c>
      <c r="F69">
        <v>0.25354596000000001</v>
      </c>
      <c r="G69">
        <v>0.20219280000000001</v>
      </c>
      <c r="I69">
        <v>5</v>
      </c>
      <c r="J69" t="s">
        <v>2</v>
      </c>
      <c r="K69">
        <v>0.2508455</v>
      </c>
      <c r="L69">
        <v>0.95</v>
      </c>
      <c r="M69">
        <v>0.20115029000000001</v>
      </c>
      <c r="N69">
        <v>0.30198423000000002</v>
      </c>
      <c r="O69">
        <v>0.2508455</v>
      </c>
      <c r="Q69">
        <v>5</v>
      </c>
      <c r="R69" t="s">
        <v>5</v>
      </c>
      <c r="S69">
        <v>0.26881179999999999</v>
      </c>
      <c r="T69">
        <v>0.95</v>
      </c>
      <c r="U69">
        <v>0.21265229999999999</v>
      </c>
      <c r="V69">
        <v>0.3259823</v>
      </c>
      <c r="W69">
        <v>0.26881179999999999</v>
      </c>
    </row>
    <row r="70" spans="1:23" x14ac:dyDescent="0.2">
      <c r="A70">
        <v>6</v>
      </c>
      <c r="B70" t="s">
        <v>3</v>
      </c>
      <c r="C70">
        <v>-0.19229840000000001</v>
      </c>
      <c r="D70">
        <v>0.95</v>
      </c>
      <c r="E70">
        <v>-0.23711772</v>
      </c>
      <c r="F70">
        <v>-0.14764843</v>
      </c>
      <c r="G70">
        <v>0.19229840000000001</v>
      </c>
      <c r="I70">
        <v>6</v>
      </c>
      <c r="J70" t="s">
        <v>3</v>
      </c>
      <c r="K70">
        <v>-0.20397299999999999</v>
      </c>
      <c r="L70">
        <v>0.95</v>
      </c>
      <c r="M70">
        <v>-0.24805389</v>
      </c>
      <c r="N70">
        <v>-0.16027664</v>
      </c>
      <c r="O70">
        <v>0.20397299999999999</v>
      </c>
      <c r="Q70">
        <v>6</v>
      </c>
      <c r="R70" t="s">
        <v>4</v>
      </c>
      <c r="S70">
        <v>-0.25121019999999999</v>
      </c>
      <c r="T70">
        <v>0.95</v>
      </c>
      <c r="U70">
        <v>-0.2982553</v>
      </c>
      <c r="V70">
        <v>-0.2043121</v>
      </c>
      <c r="W70">
        <v>0.25121019999999999</v>
      </c>
    </row>
    <row r="71" spans="1:23" x14ac:dyDescent="0.2">
      <c r="A71">
        <v>7</v>
      </c>
      <c r="B71" t="s">
        <v>4</v>
      </c>
      <c r="C71">
        <v>-0.1854992</v>
      </c>
      <c r="D71">
        <v>0.95</v>
      </c>
      <c r="E71">
        <v>-0.23312044000000001</v>
      </c>
      <c r="F71">
        <v>-0.13800187999999999</v>
      </c>
      <c r="G71">
        <v>0.1854992</v>
      </c>
      <c r="I71">
        <v>7</v>
      </c>
      <c r="J71" t="s">
        <v>1</v>
      </c>
      <c r="K71">
        <v>0.18435199999999999</v>
      </c>
      <c r="L71">
        <v>0.95</v>
      </c>
      <c r="M71">
        <v>0.13171127999999999</v>
      </c>
      <c r="N71">
        <v>0.23735092999999999</v>
      </c>
      <c r="O71">
        <v>0.18435199999999999</v>
      </c>
      <c r="Q71">
        <v>7</v>
      </c>
      <c r="R71" t="s">
        <v>3</v>
      </c>
      <c r="S71">
        <v>-0.217663</v>
      </c>
      <c r="T71">
        <v>0.95</v>
      </c>
      <c r="U71">
        <v>-0.2623627</v>
      </c>
      <c r="V71">
        <v>-0.172988</v>
      </c>
      <c r="W71">
        <v>0.217663</v>
      </c>
    </row>
    <row r="72" spans="1:23" x14ac:dyDescent="0.2">
      <c r="A72">
        <v>8</v>
      </c>
      <c r="B72" t="s">
        <v>9</v>
      </c>
      <c r="C72">
        <v>-0.14682529999999999</v>
      </c>
      <c r="D72">
        <v>0.95</v>
      </c>
      <c r="E72">
        <v>-0.19770225999999999</v>
      </c>
      <c r="F72">
        <v>-9.5912529999999996E-2</v>
      </c>
      <c r="G72">
        <v>0.14682529999999999</v>
      </c>
      <c r="I72">
        <v>8</v>
      </c>
      <c r="J72" t="s">
        <v>5</v>
      </c>
      <c r="K72">
        <v>0.12509129999999999</v>
      </c>
      <c r="L72">
        <v>0.95</v>
      </c>
      <c r="M72">
        <v>7.9647410000000002E-2</v>
      </c>
      <c r="N72">
        <v>0.17102465</v>
      </c>
      <c r="O72">
        <v>0.12509129999999999</v>
      </c>
      <c r="Q72">
        <v>8</v>
      </c>
      <c r="R72" t="s">
        <v>90</v>
      </c>
      <c r="S72">
        <v>0.1658789</v>
      </c>
      <c r="T72">
        <v>0.95</v>
      </c>
      <c r="U72">
        <v>0.1078669</v>
      </c>
      <c r="V72">
        <v>0.2235897</v>
      </c>
      <c r="W72">
        <v>0.1658789</v>
      </c>
    </row>
    <row r="73" spans="1:23" x14ac:dyDescent="0.2">
      <c r="A73">
        <v>9</v>
      </c>
      <c r="B73" t="s">
        <v>5</v>
      </c>
      <c r="C73">
        <v>0.1147548</v>
      </c>
      <c r="D73">
        <v>0.95</v>
      </c>
      <c r="E73">
        <v>6.5444810000000006E-2</v>
      </c>
      <c r="F73">
        <v>0.16479938999999999</v>
      </c>
      <c r="G73">
        <v>0.1147548</v>
      </c>
      <c r="I73">
        <v>9</v>
      </c>
      <c r="J73" t="s">
        <v>4</v>
      </c>
      <c r="K73">
        <v>-0.10154879999999999</v>
      </c>
      <c r="L73">
        <v>0.95</v>
      </c>
      <c r="M73">
        <v>-0.14533336999999999</v>
      </c>
      <c r="N73">
        <v>-5.7827980000000001E-2</v>
      </c>
      <c r="O73">
        <v>0.10154879999999999</v>
      </c>
      <c r="Q73">
        <v>9</v>
      </c>
      <c r="R73" t="s">
        <v>9</v>
      </c>
      <c r="S73">
        <v>-0.15560379999999999</v>
      </c>
      <c r="T73">
        <v>0.95</v>
      </c>
      <c r="U73">
        <v>-0.20771220000000001</v>
      </c>
      <c r="V73">
        <v>-0.1033588</v>
      </c>
      <c r="W73">
        <v>0.15560379999999999</v>
      </c>
    </row>
    <row r="74" spans="1:23" x14ac:dyDescent="0.2">
      <c r="A74" t="s">
        <v>75</v>
      </c>
      <c r="B74" s="4">
        <v>0.73399999999999999</v>
      </c>
      <c r="C74" s="4">
        <f>B74-B61</f>
        <v>3.3699999999999952E-2</v>
      </c>
      <c r="I74" t="s">
        <v>75</v>
      </c>
      <c r="J74" s="4">
        <v>0.69620000000000004</v>
      </c>
      <c r="K74" s="4">
        <f>J74-J61</f>
        <v>2.4900000000000033E-2</v>
      </c>
      <c r="Q74" t="s">
        <v>75</v>
      </c>
      <c r="R74" s="4">
        <v>0.68969999999999998</v>
      </c>
      <c r="S74" s="4">
        <f>R74-R61</f>
        <v>1.4100000000000001E-2</v>
      </c>
    </row>
    <row r="76" spans="1:23" x14ac:dyDescent="0.2">
      <c r="A76" s="3" t="s">
        <v>160</v>
      </c>
      <c r="I76" s="3" t="s">
        <v>160</v>
      </c>
      <c r="Q76" s="3" t="s">
        <v>160</v>
      </c>
    </row>
    <row r="77" spans="1:23" x14ac:dyDescent="0.2">
      <c r="B77" t="s">
        <v>154</v>
      </c>
      <c r="C77" t="s">
        <v>155</v>
      </c>
      <c r="D77" t="s">
        <v>71</v>
      </c>
      <c r="E77" t="s">
        <v>72</v>
      </c>
      <c r="F77" t="s">
        <v>73</v>
      </c>
      <c r="G77" t="s">
        <v>74</v>
      </c>
      <c r="J77" t="s">
        <v>154</v>
      </c>
      <c r="K77" t="s">
        <v>155</v>
      </c>
      <c r="L77" t="s">
        <v>71</v>
      </c>
      <c r="M77" t="s">
        <v>72</v>
      </c>
      <c r="N77" t="s">
        <v>73</v>
      </c>
      <c r="O77" t="s">
        <v>74</v>
      </c>
      <c r="R77" t="s">
        <v>154</v>
      </c>
      <c r="S77" t="s">
        <v>155</v>
      </c>
      <c r="T77" t="s">
        <v>71</v>
      </c>
      <c r="U77" t="s">
        <v>72</v>
      </c>
      <c r="V77" t="s">
        <v>73</v>
      </c>
      <c r="W77" t="s">
        <v>74</v>
      </c>
    </row>
    <row r="79" spans="1:23" x14ac:dyDescent="0.2">
      <c r="A79">
        <v>1</v>
      </c>
      <c r="B79" t="s">
        <v>0</v>
      </c>
      <c r="C79">
        <v>-0.90707360000000004</v>
      </c>
      <c r="D79">
        <v>0.95</v>
      </c>
      <c r="E79">
        <v>-0.97114904999999996</v>
      </c>
      <c r="F79">
        <v>-0.84392495999999995</v>
      </c>
      <c r="G79">
        <v>0.90707360000000004</v>
      </c>
      <c r="I79">
        <v>1</v>
      </c>
      <c r="J79" t="s">
        <v>0</v>
      </c>
      <c r="K79">
        <v>-0.62040669000000004</v>
      </c>
      <c r="L79">
        <v>0.95</v>
      </c>
      <c r="M79">
        <v>-0.67628864</v>
      </c>
      <c r="N79">
        <v>-0.56502872000000004</v>
      </c>
      <c r="O79">
        <v>0.62040669000000004</v>
      </c>
      <c r="Q79">
        <v>1</v>
      </c>
      <c r="R79" t="s">
        <v>79</v>
      </c>
      <c r="S79">
        <v>1.1379408</v>
      </c>
      <c r="T79">
        <v>0.95</v>
      </c>
      <c r="U79">
        <v>1.0886203000000001</v>
      </c>
      <c r="V79">
        <v>1.1878401999999999</v>
      </c>
      <c r="W79">
        <v>1.1379408</v>
      </c>
    </row>
    <row r="80" spans="1:23" x14ac:dyDescent="0.2">
      <c r="A80">
        <v>2</v>
      </c>
      <c r="B80" t="s">
        <v>79</v>
      </c>
      <c r="C80">
        <v>0.84543740000000001</v>
      </c>
      <c r="D80">
        <v>0.95</v>
      </c>
      <c r="E80">
        <v>0.79809238000000005</v>
      </c>
      <c r="F80">
        <v>0.89316757000000002</v>
      </c>
      <c r="G80">
        <v>0.84543740000000001</v>
      </c>
      <c r="I80">
        <v>2</v>
      </c>
      <c r="J80" t="s">
        <v>79</v>
      </c>
      <c r="K80">
        <v>0.40130680000000002</v>
      </c>
      <c r="L80">
        <v>0.95</v>
      </c>
      <c r="M80">
        <v>0.35855738999999998</v>
      </c>
      <c r="N80">
        <v>0.44420110000000002</v>
      </c>
      <c r="O80">
        <v>0.40130680000000002</v>
      </c>
      <c r="Q80">
        <v>2</v>
      </c>
      <c r="R80" t="s">
        <v>2</v>
      </c>
      <c r="S80">
        <v>0.44212630000000003</v>
      </c>
      <c r="T80">
        <v>0.95</v>
      </c>
      <c r="U80">
        <v>0.36771369999999998</v>
      </c>
      <c r="V80">
        <v>0.51872784999999999</v>
      </c>
      <c r="W80">
        <v>0.44212630000000003</v>
      </c>
    </row>
    <row r="81" spans="1:23" x14ac:dyDescent="0.2">
      <c r="A81">
        <v>3</v>
      </c>
      <c r="B81" t="s">
        <v>2</v>
      </c>
      <c r="C81">
        <v>0.54837329999999995</v>
      </c>
      <c r="D81">
        <v>0.95</v>
      </c>
      <c r="E81">
        <v>0.48255417</v>
      </c>
      <c r="F81">
        <v>0.61555740000000003</v>
      </c>
      <c r="G81">
        <v>0.54837329999999995</v>
      </c>
      <c r="I81">
        <v>3</v>
      </c>
      <c r="J81" t="s">
        <v>9</v>
      </c>
      <c r="K81">
        <v>-0.34062111</v>
      </c>
      <c r="L81">
        <v>0.95</v>
      </c>
      <c r="M81">
        <v>-0.39042300000000002</v>
      </c>
      <c r="N81">
        <v>-0.29100722000000001</v>
      </c>
      <c r="O81">
        <v>0.34062111</v>
      </c>
      <c r="Q81">
        <v>3</v>
      </c>
      <c r="R81" t="s">
        <v>0</v>
      </c>
      <c r="S81">
        <v>-0.28542329999999999</v>
      </c>
      <c r="T81">
        <v>0.95</v>
      </c>
      <c r="U81">
        <v>-0.34405950000000002</v>
      </c>
      <c r="V81">
        <v>-0.22669420000000001</v>
      </c>
      <c r="W81">
        <v>0.28542329999999999</v>
      </c>
    </row>
    <row r="82" spans="1:23" x14ac:dyDescent="0.2">
      <c r="A82">
        <v>4</v>
      </c>
      <c r="B82" t="s">
        <v>90</v>
      </c>
      <c r="C82">
        <v>0.54745779999999999</v>
      </c>
      <c r="D82">
        <v>0.95</v>
      </c>
      <c r="E82">
        <v>0.48931635000000001</v>
      </c>
      <c r="F82">
        <v>0.60619407000000003</v>
      </c>
      <c r="G82">
        <v>0.54745779999999999</v>
      </c>
      <c r="I82">
        <v>4</v>
      </c>
      <c r="J82" t="s">
        <v>90</v>
      </c>
      <c r="K82">
        <v>0.31083984999999997</v>
      </c>
      <c r="L82">
        <v>0.95</v>
      </c>
      <c r="M82">
        <v>0.25802279</v>
      </c>
      <c r="N82">
        <v>0.36390987000000002</v>
      </c>
      <c r="O82">
        <v>0.31083984999999997</v>
      </c>
      <c r="Q82">
        <v>4</v>
      </c>
      <c r="R82" t="s">
        <v>1</v>
      </c>
      <c r="S82">
        <v>0.2694222</v>
      </c>
      <c r="T82">
        <v>0.95</v>
      </c>
      <c r="U82">
        <v>0.21580340000000001</v>
      </c>
      <c r="V82">
        <v>0.32342480000000001</v>
      </c>
      <c r="W82">
        <v>0.2694222</v>
      </c>
    </row>
    <row r="83" spans="1:23" x14ac:dyDescent="0.2">
      <c r="A83">
        <v>5</v>
      </c>
      <c r="B83" t="s">
        <v>1</v>
      </c>
      <c r="C83">
        <v>0.2050189</v>
      </c>
      <c r="D83">
        <v>0.95</v>
      </c>
      <c r="E83">
        <v>0.15396055</v>
      </c>
      <c r="F83">
        <v>0.25645804999999999</v>
      </c>
      <c r="G83">
        <v>0.2050189</v>
      </c>
      <c r="I83">
        <v>5</v>
      </c>
      <c r="J83" t="s">
        <v>2</v>
      </c>
      <c r="K83">
        <v>0.28072211000000002</v>
      </c>
      <c r="L83">
        <v>0.95</v>
      </c>
      <c r="M83">
        <v>0.22752597999999999</v>
      </c>
      <c r="N83">
        <v>0.33545209999999998</v>
      </c>
      <c r="O83">
        <v>0.28072211000000002</v>
      </c>
      <c r="Q83">
        <v>5</v>
      </c>
      <c r="R83" t="s">
        <v>5</v>
      </c>
      <c r="S83">
        <v>0.25212279999999998</v>
      </c>
      <c r="T83">
        <v>0.95</v>
      </c>
      <c r="U83">
        <v>0.19560640000000001</v>
      </c>
      <c r="V83">
        <v>0.30963527000000002</v>
      </c>
      <c r="W83">
        <v>0.25212279999999998</v>
      </c>
    </row>
    <row r="84" spans="1:23" x14ac:dyDescent="0.2">
      <c r="A84">
        <v>6</v>
      </c>
      <c r="B84" t="s">
        <v>3</v>
      </c>
      <c r="C84">
        <v>-0.18893550000000001</v>
      </c>
      <c r="D84">
        <v>0.95</v>
      </c>
      <c r="E84">
        <v>-0.23389884999999999</v>
      </c>
      <c r="F84">
        <v>-0.14413218999999999</v>
      </c>
      <c r="G84">
        <v>0.18893550000000001</v>
      </c>
      <c r="I84">
        <v>6</v>
      </c>
      <c r="J84" t="s">
        <v>3</v>
      </c>
      <c r="K84">
        <v>-0.20214382</v>
      </c>
      <c r="L84">
        <v>0.95</v>
      </c>
      <c r="M84">
        <v>-0.24629229999999999</v>
      </c>
      <c r="N84">
        <v>-0.15838169999999999</v>
      </c>
      <c r="O84">
        <v>0.20214382</v>
      </c>
      <c r="Q84">
        <v>6</v>
      </c>
      <c r="R84" t="s">
        <v>4</v>
      </c>
      <c r="S84">
        <v>-0.25020340000000002</v>
      </c>
      <c r="T84">
        <v>0.95</v>
      </c>
      <c r="U84">
        <v>-0.29727500000000001</v>
      </c>
      <c r="V84">
        <v>-0.20327857999999999</v>
      </c>
      <c r="W84">
        <v>0.25020340000000002</v>
      </c>
    </row>
    <row r="85" spans="1:23" x14ac:dyDescent="0.2">
      <c r="A85">
        <v>7</v>
      </c>
      <c r="B85" t="s">
        <v>4</v>
      </c>
      <c r="C85">
        <v>-0.18226059999999999</v>
      </c>
      <c r="D85">
        <v>0.95</v>
      </c>
      <c r="E85">
        <v>-0.22996226</v>
      </c>
      <c r="F85">
        <v>-0.13468131</v>
      </c>
      <c r="G85">
        <v>0.18226059999999999</v>
      </c>
      <c r="I85">
        <v>7</v>
      </c>
      <c r="J85" t="s">
        <v>1</v>
      </c>
      <c r="K85">
        <v>0.18315297</v>
      </c>
      <c r="L85">
        <v>0.95</v>
      </c>
      <c r="M85">
        <v>0.13048388999999999</v>
      </c>
      <c r="N85">
        <v>0.23618120000000001</v>
      </c>
      <c r="O85">
        <v>0.18315297</v>
      </c>
      <c r="Q85">
        <v>7</v>
      </c>
      <c r="R85" t="s">
        <v>3</v>
      </c>
      <c r="S85">
        <v>-0.21208060000000001</v>
      </c>
      <c r="T85">
        <v>0.95</v>
      </c>
      <c r="U85">
        <v>-0.25681880000000001</v>
      </c>
      <c r="V85">
        <v>-0.16736491000000001</v>
      </c>
      <c r="W85">
        <v>0.21208060000000001</v>
      </c>
    </row>
    <row r="86" spans="1:23" x14ac:dyDescent="0.2">
      <c r="A86">
        <v>8</v>
      </c>
      <c r="B86" t="s">
        <v>91</v>
      </c>
      <c r="C86">
        <v>-0.17152429999999999</v>
      </c>
      <c r="D86">
        <v>0.95</v>
      </c>
      <c r="E86">
        <v>-0.23089005000000001</v>
      </c>
      <c r="F86">
        <v>-0.11323504</v>
      </c>
      <c r="G86">
        <v>0.17152429999999999</v>
      </c>
      <c r="I86">
        <v>8</v>
      </c>
      <c r="J86" t="s">
        <v>5</v>
      </c>
      <c r="K86">
        <v>0.12315825</v>
      </c>
      <c r="L86">
        <v>0.95</v>
      </c>
      <c r="M86">
        <v>7.7656340000000004E-2</v>
      </c>
      <c r="N86">
        <v>0.16914529</v>
      </c>
      <c r="O86">
        <v>0.12315825</v>
      </c>
      <c r="Q86">
        <v>8</v>
      </c>
      <c r="R86" t="s">
        <v>90</v>
      </c>
      <c r="S86">
        <v>0.1745169</v>
      </c>
      <c r="T86">
        <v>0.95</v>
      </c>
      <c r="U86">
        <v>0.1162871</v>
      </c>
      <c r="V86">
        <v>0.2324629</v>
      </c>
      <c r="W86">
        <v>0.1745169</v>
      </c>
    </row>
    <row r="87" spans="1:23" x14ac:dyDescent="0.2">
      <c r="A87">
        <v>9</v>
      </c>
      <c r="B87" t="s">
        <v>9</v>
      </c>
      <c r="C87">
        <v>-0.13888510000000001</v>
      </c>
      <c r="D87">
        <v>0.95</v>
      </c>
      <c r="E87">
        <v>-0.18998998</v>
      </c>
      <c r="F87">
        <v>-8.7731329999999996E-2</v>
      </c>
      <c r="G87">
        <v>0.13888510000000001</v>
      </c>
      <c r="I87">
        <v>9</v>
      </c>
      <c r="J87" t="s">
        <v>4</v>
      </c>
      <c r="K87">
        <v>-0.10192517</v>
      </c>
      <c r="L87">
        <v>0.95</v>
      </c>
      <c r="M87">
        <v>-0.14571723</v>
      </c>
      <c r="N87">
        <v>-5.8196860000000003E-2</v>
      </c>
      <c r="O87">
        <v>0.10192517</v>
      </c>
      <c r="Q87">
        <v>9</v>
      </c>
      <c r="R87" t="s">
        <v>91</v>
      </c>
      <c r="S87">
        <v>-0.16041340000000001</v>
      </c>
      <c r="T87">
        <v>0.95</v>
      </c>
      <c r="U87">
        <v>-0.22604640000000001</v>
      </c>
      <c r="V87">
        <v>-9.6646140000000005E-2</v>
      </c>
      <c r="W87">
        <v>0.16041340000000001</v>
      </c>
    </row>
    <row r="88" spans="1:23" x14ac:dyDescent="0.2">
      <c r="A88">
        <v>10</v>
      </c>
      <c r="B88" t="s">
        <v>5</v>
      </c>
      <c r="C88">
        <v>0.106404</v>
      </c>
      <c r="D88">
        <v>0.95</v>
      </c>
      <c r="E88">
        <v>5.6818880000000002E-2</v>
      </c>
      <c r="F88">
        <v>0.156699</v>
      </c>
      <c r="G88">
        <v>0.106404</v>
      </c>
      <c r="I88">
        <v>10</v>
      </c>
      <c r="J88" t="s">
        <v>91</v>
      </c>
      <c r="K88">
        <v>-8.6839860000000005E-2</v>
      </c>
      <c r="L88">
        <v>0.95</v>
      </c>
      <c r="M88">
        <v>-0.13916484000000001</v>
      </c>
      <c r="N88">
        <v>-3.5839820000000001E-2</v>
      </c>
      <c r="O88">
        <v>8.6839860000000005E-2</v>
      </c>
      <c r="Q88">
        <v>10</v>
      </c>
      <c r="R88" t="s">
        <v>9</v>
      </c>
      <c r="S88">
        <v>-0.15092620000000001</v>
      </c>
      <c r="T88">
        <v>0.95</v>
      </c>
      <c r="U88">
        <v>-0.20312150000000001</v>
      </c>
      <c r="V88">
        <v>-9.8592269999999996E-2</v>
      </c>
      <c r="W88">
        <v>0.15092620000000001</v>
      </c>
    </row>
    <row r="89" spans="1:23" x14ac:dyDescent="0.2">
      <c r="A89" t="s">
        <v>75</v>
      </c>
      <c r="B89" s="4">
        <v>0.73670000000000002</v>
      </c>
      <c r="I89" t="s">
        <v>75</v>
      </c>
      <c r="J89" s="4">
        <v>0.6976</v>
      </c>
      <c r="Q89" t="s">
        <v>75</v>
      </c>
      <c r="R89" s="4">
        <v>0.69310000000000005</v>
      </c>
    </row>
    <row r="91" spans="1:23" x14ac:dyDescent="0.2">
      <c r="A91" s="3" t="s">
        <v>162</v>
      </c>
      <c r="I91" s="3" t="s">
        <v>162</v>
      </c>
      <c r="Q91" s="3" t="s">
        <v>162</v>
      </c>
    </row>
    <row r="92" spans="1:23" x14ac:dyDescent="0.2">
      <c r="B92" t="s">
        <v>154</v>
      </c>
      <c r="C92" t="s">
        <v>155</v>
      </c>
      <c r="D92" t="s">
        <v>71</v>
      </c>
      <c r="E92" t="s">
        <v>72</v>
      </c>
      <c r="F92" t="s">
        <v>73</v>
      </c>
      <c r="G92" t="s">
        <v>74</v>
      </c>
      <c r="J92" t="s">
        <v>154</v>
      </c>
      <c r="K92" t="s">
        <v>155</v>
      </c>
      <c r="L92" t="s">
        <v>71</v>
      </c>
      <c r="M92" t="s">
        <v>72</v>
      </c>
      <c r="N92" t="s">
        <v>73</v>
      </c>
      <c r="O92" t="s">
        <v>74</v>
      </c>
      <c r="R92" t="s">
        <v>154</v>
      </c>
      <c r="S92" t="s">
        <v>155</v>
      </c>
      <c r="T92" t="s">
        <v>71</v>
      </c>
      <c r="U92" t="s">
        <v>72</v>
      </c>
      <c r="V92" t="s">
        <v>73</v>
      </c>
      <c r="W92" t="s">
        <v>74</v>
      </c>
    </row>
    <row r="94" spans="1:23" x14ac:dyDescent="0.2">
      <c r="A94">
        <v>1</v>
      </c>
      <c r="B94" t="s">
        <v>0</v>
      </c>
      <c r="C94">
        <v>-0.91076829000000004</v>
      </c>
      <c r="D94">
        <v>0.95</v>
      </c>
      <c r="E94">
        <v>-0.97504279000000005</v>
      </c>
      <c r="F94">
        <v>-0.84742121999999998</v>
      </c>
      <c r="G94">
        <v>0.91076829000000004</v>
      </c>
      <c r="I94">
        <v>1</v>
      </c>
      <c r="J94" t="s">
        <v>0</v>
      </c>
      <c r="K94">
        <v>-0.62328910000000004</v>
      </c>
      <c r="L94">
        <v>0.95</v>
      </c>
      <c r="M94">
        <v>-0.67964720000000001</v>
      </c>
      <c r="N94">
        <v>-0.56744117999999999</v>
      </c>
      <c r="O94">
        <v>0.62328910000000004</v>
      </c>
      <c r="Q94">
        <v>1</v>
      </c>
      <c r="R94" t="s">
        <v>79</v>
      </c>
      <c r="S94">
        <v>1.13983974</v>
      </c>
      <c r="T94">
        <v>0.95</v>
      </c>
      <c r="U94">
        <v>1.0904632299999999</v>
      </c>
      <c r="V94">
        <v>1.18979502</v>
      </c>
      <c r="W94">
        <v>1.13983974</v>
      </c>
    </row>
    <row r="95" spans="1:23" x14ac:dyDescent="0.2">
      <c r="A95">
        <v>2</v>
      </c>
      <c r="B95" t="s">
        <v>79</v>
      </c>
      <c r="C95">
        <v>0.84816955999999999</v>
      </c>
      <c r="D95">
        <v>0.95</v>
      </c>
      <c r="E95">
        <v>0.80071442999999998</v>
      </c>
      <c r="F95">
        <v>0.89601547999999998</v>
      </c>
      <c r="G95">
        <v>0.84816955999999999</v>
      </c>
      <c r="I95">
        <v>2</v>
      </c>
      <c r="J95" t="s">
        <v>79</v>
      </c>
      <c r="K95">
        <v>0.40317941000000002</v>
      </c>
      <c r="L95">
        <v>0.95</v>
      </c>
      <c r="M95">
        <v>0.36028939999999998</v>
      </c>
      <c r="N95">
        <v>0.44621706</v>
      </c>
      <c r="O95">
        <v>0.40317941000000002</v>
      </c>
      <c r="Q95">
        <v>2</v>
      </c>
      <c r="R95" t="s">
        <v>2</v>
      </c>
      <c r="S95">
        <v>0.42867704000000001</v>
      </c>
      <c r="T95">
        <v>0.95</v>
      </c>
      <c r="U95">
        <v>0.35430211</v>
      </c>
      <c r="V95">
        <v>0.50523059999999997</v>
      </c>
      <c r="W95">
        <v>0.42867704000000001</v>
      </c>
    </row>
    <row r="96" spans="1:23" x14ac:dyDescent="0.2">
      <c r="A96">
        <v>3</v>
      </c>
      <c r="B96" t="s">
        <v>2</v>
      </c>
      <c r="C96">
        <v>0.56707633999999996</v>
      </c>
      <c r="D96">
        <v>0.95</v>
      </c>
      <c r="E96">
        <v>0.50014508000000002</v>
      </c>
      <c r="F96">
        <v>0.63541771000000002</v>
      </c>
      <c r="G96">
        <v>0.56707633999999996</v>
      </c>
      <c r="I96">
        <v>3</v>
      </c>
      <c r="J96" t="s">
        <v>9</v>
      </c>
      <c r="K96">
        <v>-0.38207221000000002</v>
      </c>
      <c r="L96">
        <v>0.95</v>
      </c>
      <c r="M96">
        <v>-0.43849199999999999</v>
      </c>
      <c r="N96">
        <v>-0.32585845000000002</v>
      </c>
      <c r="O96">
        <v>0.38207221000000002</v>
      </c>
      <c r="Q96">
        <v>3</v>
      </c>
      <c r="R96" t="s">
        <v>0</v>
      </c>
      <c r="S96">
        <v>-0.28200457000000001</v>
      </c>
      <c r="T96">
        <v>0.95</v>
      </c>
      <c r="U96">
        <v>-0.34071923999999998</v>
      </c>
      <c r="V96">
        <v>-0.22319027</v>
      </c>
      <c r="W96">
        <v>0.28200457000000001</v>
      </c>
    </row>
    <row r="97" spans="1:23" x14ac:dyDescent="0.2">
      <c r="A97">
        <v>4</v>
      </c>
      <c r="B97" t="s">
        <v>90</v>
      </c>
      <c r="C97">
        <v>0.54668041999999994</v>
      </c>
      <c r="D97">
        <v>0.95</v>
      </c>
      <c r="E97">
        <v>0.48844288000000002</v>
      </c>
      <c r="F97">
        <v>0.60551639000000002</v>
      </c>
      <c r="G97">
        <v>0.54668041999999994</v>
      </c>
      <c r="I97">
        <v>4</v>
      </c>
      <c r="J97" t="s">
        <v>90</v>
      </c>
      <c r="K97">
        <v>0.31636584000000001</v>
      </c>
      <c r="L97">
        <v>0.95</v>
      </c>
      <c r="M97">
        <v>0.26329269999999999</v>
      </c>
      <c r="N97">
        <v>0.36970663999999998</v>
      </c>
      <c r="O97">
        <v>0.31636584000000001</v>
      </c>
      <c r="Q97">
        <v>4</v>
      </c>
      <c r="R97" t="s">
        <v>4</v>
      </c>
      <c r="S97">
        <v>-0.26089952</v>
      </c>
      <c r="T97">
        <v>0.95</v>
      </c>
      <c r="U97">
        <v>-0.30861100000000002</v>
      </c>
      <c r="V97">
        <v>-0.21334434999999999</v>
      </c>
      <c r="W97">
        <v>0.26089952</v>
      </c>
    </row>
    <row r="98" spans="1:23" x14ac:dyDescent="0.2">
      <c r="A98">
        <v>5</v>
      </c>
      <c r="B98" t="s">
        <v>1</v>
      </c>
      <c r="C98">
        <v>0.20540227999999999</v>
      </c>
      <c r="D98">
        <v>0.95</v>
      </c>
      <c r="E98">
        <v>0.15376687</v>
      </c>
      <c r="F98">
        <v>0.25741448</v>
      </c>
      <c r="G98">
        <v>0.20540227999999999</v>
      </c>
      <c r="I98">
        <v>5</v>
      </c>
      <c r="J98" t="s">
        <v>2</v>
      </c>
      <c r="K98">
        <v>0.29378819</v>
      </c>
      <c r="L98">
        <v>0.95</v>
      </c>
      <c r="M98">
        <v>0.24016609999999999</v>
      </c>
      <c r="N98">
        <v>0.34896588000000001</v>
      </c>
      <c r="O98">
        <v>0.29378819</v>
      </c>
      <c r="Q98">
        <v>5</v>
      </c>
      <c r="R98" t="s">
        <v>1</v>
      </c>
      <c r="S98">
        <v>0.24424988</v>
      </c>
      <c r="T98">
        <v>0.95</v>
      </c>
      <c r="U98">
        <v>0.18885056</v>
      </c>
      <c r="V98">
        <v>0.30002313000000003</v>
      </c>
      <c r="W98">
        <v>0.24424988</v>
      </c>
    </row>
    <row r="99" spans="1:23" x14ac:dyDescent="0.2">
      <c r="A99">
        <v>6</v>
      </c>
      <c r="B99" t="s">
        <v>3</v>
      </c>
      <c r="C99">
        <v>-0.19360991</v>
      </c>
      <c r="D99">
        <v>0.95</v>
      </c>
      <c r="E99">
        <v>-0.23878368999999999</v>
      </c>
      <c r="F99">
        <v>-0.14860905999999999</v>
      </c>
      <c r="G99">
        <v>0.19360991</v>
      </c>
      <c r="I99">
        <v>6</v>
      </c>
      <c r="J99" t="s">
        <v>1</v>
      </c>
      <c r="K99">
        <v>0.23957719999999999</v>
      </c>
      <c r="L99">
        <v>0.95</v>
      </c>
      <c r="M99">
        <v>0.1833224</v>
      </c>
      <c r="N99">
        <v>0.29627039999999999</v>
      </c>
      <c r="O99">
        <v>0.23957719999999999</v>
      </c>
      <c r="Q99">
        <v>6</v>
      </c>
      <c r="R99" t="s">
        <v>5</v>
      </c>
      <c r="S99">
        <v>0.21933540000000001</v>
      </c>
      <c r="T99">
        <v>0.95</v>
      </c>
      <c r="U99">
        <v>0.16161331000000001</v>
      </c>
      <c r="V99">
        <v>0.27807187</v>
      </c>
      <c r="W99">
        <v>0.21933540000000001</v>
      </c>
    </row>
    <row r="100" spans="1:23" x14ac:dyDescent="0.2">
      <c r="A100">
        <v>7</v>
      </c>
      <c r="B100" t="s">
        <v>4</v>
      </c>
      <c r="C100">
        <v>-0.17567890999999999</v>
      </c>
      <c r="D100">
        <v>0.95</v>
      </c>
      <c r="E100">
        <v>-0.22393713000000001</v>
      </c>
      <c r="F100">
        <v>-0.12753120000000001</v>
      </c>
      <c r="G100">
        <v>0.17567890999999999</v>
      </c>
      <c r="I100">
        <v>7</v>
      </c>
      <c r="J100" t="s">
        <v>3</v>
      </c>
      <c r="K100">
        <v>-0.21178591999999999</v>
      </c>
      <c r="L100">
        <v>0.95</v>
      </c>
      <c r="M100">
        <v>-0.25624619999999998</v>
      </c>
      <c r="N100">
        <v>-0.16773931</v>
      </c>
      <c r="O100">
        <v>0.21178591999999999</v>
      </c>
      <c r="Q100">
        <v>7</v>
      </c>
      <c r="R100" t="s">
        <v>3</v>
      </c>
      <c r="S100">
        <v>-0.20895744999999999</v>
      </c>
      <c r="T100">
        <v>0.95</v>
      </c>
      <c r="U100">
        <v>-0.25373560000000001</v>
      </c>
      <c r="V100">
        <v>-0.16418722999999999</v>
      </c>
      <c r="W100">
        <v>0.20895744999999999</v>
      </c>
    </row>
    <row r="101" spans="1:23" x14ac:dyDescent="0.2">
      <c r="A101">
        <v>8</v>
      </c>
      <c r="B101" t="s">
        <v>91</v>
      </c>
      <c r="C101">
        <v>-0.17273743999999999</v>
      </c>
      <c r="D101">
        <v>0.95</v>
      </c>
      <c r="E101">
        <v>-0.23212115</v>
      </c>
      <c r="F101">
        <v>-0.1144255</v>
      </c>
      <c r="G101">
        <v>0.17273743999999999</v>
      </c>
      <c r="I101">
        <v>8</v>
      </c>
      <c r="J101" t="s">
        <v>7</v>
      </c>
      <c r="K101">
        <v>-0.15079313999999999</v>
      </c>
      <c r="L101">
        <v>0.95</v>
      </c>
      <c r="M101">
        <v>-0.20621809999999999</v>
      </c>
      <c r="N101">
        <v>-9.5423900000000006E-2</v>
      </c>
      <c r="O101">
        <v>0.15079313999999999</v>
      </c>
      <c r="Q101">
        <v>8</v>
      </c>
      <c r="R101" t="s">
        <v>90</v>
      </c>
      <c r="S101">
        <v>0.16834199</v>
      </c>
      <c r="T101">
        <v>0.95</v>
      </c>
      <c r="U101">
        <v>0.11001421</v>
      </c>
      <c r="V101">
        <v>0.22636355999999999</v>
      </c>
      <c r="W101">
        <v>0.16834199</v>
      </c>
    </row>
    <row r="102" spans="1:23" x14ac:dyDescent="0.2">
      <c r="A102">
        <v>9</v>
      </c>
      <c r="B102" t="s">
        <v>5</v>
      </c>
      <c r="C102">
        <v>0.14567190999999999</v>
      </c>
      <c r="D102">
        <v>0.95</v>
      </c>
      <c r="E102">
        <v>9.2854249999999999E-2</v>
      </c>
      <c r="F102">
        <v>0.19927296999999999</v>
      </c>
      <c r="G102">
        <v>0.14567190999999999</v>
      </c>
      <c r="I102">
        <v>9</v>
      </c>
      <c r="J102" t="s">
        <v>5</v>
      </c>
      <c r="K102">
        <v>0.14965823</v>
      </c>
      <c r="L102">
        <v>0.95</v>
      </c>
      <c r="M102">
        <v>0.10200049999999999</v>
      </c>
      <c r="N102">
        <v>0.19785516</v>
      </c>
      <c r="O102">
        <v>0.14965823</v>
      </c>
      <c r="Q102">
        <v>9</v>
      </c>
      <c r="R102" t="s">
        <v>9</v>
      </c>
      <c r="S102">
        <v>-0.1673819</v>
      </c>
      <c r="T102">
        <v>0.95</v>
      </c>
      <c r="U102">
        <v>-0.22453131000000001</v>
      </c>
      <c r="V102">
        <v>-0.11005827999999999</v>
      </c>
      <c r="W102">
        <v>0.1673819</v>
      </c>
    </row>
    <row r="103" spans="1:23" x14ac:dyDescent="0.2">
      <c r="A103">
        <v>10</v>
      </c>
      <c r="B103" t="s">
        <v>9</v>
      </c>
      <c r="C103">
        <v>-0.12346592000000001</v>
      </c>
      <c r="D103">
        <v>0.95</v>
      </c>
      <c r="E103">
        <v>-0.17777348000000001</v>
      </c>
      <c r="F103">
        <v>-6.9051790000000002E-2</v>
      </c>
      <c r="G103">
        <v>0.12346592000000001</v>
      </c>
      <c r="I103">
        <v>10</v>
      </c>
      <c r="J103" t="s">
        <v>21</v>
      </c>
      <c r="K103">
        <v>-0.10057494</v>
      </c>
      <c r="L103">
        <v>0.95</v>
      </c>
      <c r="M103">
        <v>-0.14833969999999999</v>
      </c>
      <c r="N103">
        <v>-5.2804280000000002E-2</v>
      </c>
      <c r="O103">
        <v>0.10057494</v>
      </c>
      <c r="Q103">
        <v>10</v>
      </c>
      <c r="R103" t="s">
        <v>91</v>
      </c>
      <c r="S103">
        <v>-0.16006492</v>
      </c>
      <c r="T103">
        <v>0.95</v>
      </c>
      <c r="U103">
        <v>-0.22577728999999999</v>
      </c>
      <c r="V103">
        <v>-9.6218600000000001E-2</v>
      </c>
      <c r="W103">
        <v>0.16006492</v>
      </c>
    </row>
    <row r="104" spans="1:23" x14ac:dyDescent="0.2">
      <c r="A104">
        <v>11</v>
      </c>
      <c r="B104" t="s">
        <v>21</v>
      </c>
      <c r="C104">
        <v>-0.11987723</v>
      </c>
      <c r="D104">
        <v>0.95</v>
      </c>
      <c r="E104">
        <v>-0.17196824999999999</v>
      </c>
      <c r="F104">
        <v>-6.7740149999999999E-2</v>
      </c>
      <c r="G104">
        <v>0.11987723</v>
      </c>
      <c r="I104">
        <v>11</v>
      </c>
      <c r="J104" t="s">
        <v>91</v>
      </c>
      <c r="K104">
        <v>-8.6056859999999999E-2</v>
      </c>
      <c r="L104">
        <v>0.95</v>
      </c>
      <c r="M104">
        <v>-0.1382796</v>
      </c>
      <c r="N104">
        <v>-3.51589E-2</v>
      </c>
      <c r="O104">
        <v>8.6056859999999999E-2</v>
      </c>
      <c r="Q104">
        <v>11</v>
      </c>
      <c r="R104" t="s">
        <v>21</v>
      </c>
      <c r="S104">
        <v>0.1128914</v>
      </c>
      <c r="T104">
        <v>0.95</v>
      </c>
      <c r="U104">
        <v>5.8360589999999997E-2</v>
      </c>
      <c r="V104">
        <v>0.16784283</v>
      </c>
      <c r="W104">
        <v>0.1128914</v>
      </c>
    </row>
    <row r="105" spans="1:23" x14ac:dyDescent="0.2">
      <c r="A105">
        <v>12</v>
      </c>
      <c r="B105" t="s">
        <v>7</v>
      </c>
      <c r="C105">
        <v>2.0549649999999999E-2</v>
      </c>
      <c r="D105">
        <v>0.95</v>
      </c>
      <c r="E105">
        <v>-3.0952170000000001E-2</v>
      </c>
      <c r="F105">
        <v>7.2187860000000006E-2</v>
      </c>
      <c r="G105">
        <v>2.0549649999999999E-2</v>
      </c>
      <c r="I105">
        <v>12</v>
      </c>
      <c r="J105" t="s">
        <v>4</v>
      </c>
      <c r="K105">
        <v>-8.2591910000000004E-2</v>
      </c>
      <c r="L105">
        <v>0.95</v>
      </c>
      <c r="M105">
        <v>-0.12699869999999999</v>
      </c>
      <c r="N105">
        <v>-3.8235320000000003E-2</v>
      </c>
      <c r="O105">
        <v>8.2591910000000004E-2</v>
      </c>
      <c r="Q105">
        <v>12</v>
      </c>
      <c r="R105" t="s">
        <v>7</v>
      </c>
      <c r="S105">
        <v>3.178284E-2</v>
      </c>
      <c r="T105">
        <v>0.95</v>
      </c>
      <c r="U105">
        <v>-2.3101569999999998E-2</v>
      </c>
      <c r="V105">
        <v>8.6832880000000001E-2</v>
      </c>
      <c r="W105">
        <v>3.178284E-2</v>
      </c>
    </row>
    <row r="106" spans="1:23" x14ac:dyDescent="0.2">
      <c r="A106" t="s">
        <v>75</v>
      </c>
      <c r="B106" s="4">
        <v>0.73809999999999998</v>
      </c>
      <c r="I106" t="s">
        <v>75</v>
      </c>
      <c r="J106" s="4">
        <v>0.70409999999999995</v>
      </c>
      <c r="Q106" t="s">
        <v>75</v>
      </c>
      <c r="R106" s="4">
        <v>0.69489999999999996</v>
      </c>
    </row>
    <row r="107" spans="1:23" x14ac:dyDescent="0.2">
      <c r="A107" t="s">
        <v>163</v>
      </c>
      <c r="B107" s="4">
        <f>B106-B74</f>
        <v>4.0999999999999925E-3</v>
      </c>
      <c r="I107" t="s">
        <v>163</v>
      </c>
      <c r="J107" s="4">
        <f>J106-J74</f>
        <v>7.8999999999999071E-3</v>
      </c>
      <c r="Q107" t="s">
        <v>163</v>
      </c>
      <c r="R107" s="4">
        <f>R106-R74</f>
        <v>5.1999999999999824E-3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State RF</vt:lpstr>
      <vt:lpstr>State GLM</vt:lpstr>
      <vt:lpstr>Delta RF</vt:lpstr>
      <vt:lpstr>Delta GLM</vt:lpstr>
      <vt:lpstr>Combined RF</vt:lpstr>
      <vt:lpstr>Combined GLM</vt:lpstr>
      <vt:lpstr>Validation</vt:lpstr>
      <vt:lpstr>Assent Trajectory</vt:lpstr>
      <vt:lpstr>OLD State RF</vt:lpstr>
      <vt:lpstr>OLD State GLM</vt:lpstr>
      <vt:lpstr>OLD Combined RF</vt:lpstr>
      <vt:lpstr>OLD Combined GLM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Wei</dc:creator>
  <cp:lastModifiedBy>Christina Wei</cp:lastModifiedBy>
  <dcterms:created xsi:type="dcterms:W3CDTF">2026-05-20T20:17:09Z</dcterms:created>
  <dcterms:modified xsi:type="dcterms:W3CDTF">2026-05-25T13:42:31Z</dcterms:modified>
</cp:coreProperties>
</file>